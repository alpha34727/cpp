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sou\Desktop\cpp\gpe\"/>
    </mc:Choice>
  </mc:AlternateContent>
  <xr:revisionPtr revIDLastSave="0" documentId="13_ncr:1_{645CB2F5-886D-4F68-84E7-453375CF0461}" xr6:coauthVersionLast="47" xr6:coauthVersionMax="47" xr10:uidLastSave="{00000000-0000-0000-0000-000000000000}"/>
  <bookViews>
    <workbookView xWindow="12210" yWindow="4770" windowWidth="21795" windowHeight="13020" xr2:uid="{21DD07EA-1B5E-43B6-9AD5-97FF9BC94BD3}"/>
  </bookViews>
  <sheets>
    <sheet name="工作表1" sheetId="1" r:id="rId1"/>
  </sheets>
  <definedNames>
    <definedName name="_xlnm._FilterDatabase" localSheetId="0" hidden="1">工作表1!$A$1:$I$108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" i="1" l="1"/>
  <c r="L1" i="1"/>
</calcChain>
</file>

<file path=xl/sharedStrings.xml><?xml version="1.0" encoding="utf-8"?>
<sst xmlns="http://schemas.openxmlformats.org/spreadsheetml/2006/main" count="236" uniqueCount="236">
  <si>
    <t>Problem</t>
  </si>
  <si>
    <t>推薦度</t>
  </si>
  <si>
    <t>AcceptRate</t>
  </si>
  <si>
    <t>ACs/Subs</t>
  </si>
  <si>
    <t>OnSite</t>
  </si>
  <si>
    <t>Access</t>
  </si>
  <si>
    <t>Appearance</t>
  </si>
  <si>
    <t>LastAppearance</t>
  </si>
  <si>
    <t>10038: Disk Tree  </t>
  </si>
  <si>
    <t>81/321</t>
  </si>
  <si>
    <t>10409: A mid-summer nightâs dream  </t>
  </si>
  <si>
    <t>718/3810</t>
  </si>
  <si>
    <t>10414: Bangla Numbers  </t>
  </si>
  <si>
    <t>314/2979</t>
  </si>
  <si>
    <t>10416: Last Digit  </t>
  </si>
  <si>
    <t>651/4229</t>
  </si>
  <si>
    <t>10417: The Hotel with Infinite Rooms  </t>
  </si>
  <si>
    <t>865/2846</t>
  </si>
  <si>
    <t>10418: Minesweeper  </t>
  </si>
  <si>
    <t>784/4604</t>
  </si>
  <si>
    <t>10421: All You Need Is Love  </t>
  </si>
  <si>
    <t>795/2638</t>
  </si>
  <si>
    <t>10422: Is This Integration ?  </t>
  </si>
  <si>
    <t>257/684</t>
  </si>
  <si>
    <t>10429: Contest Scoreboard  </t>
  </si>
  <si>
    <t>219/1160</t>
  </si>
  <si>
    <t>10432: Mine Sweeper  </t>
  </si>
  <si>
    <t>275/1865</t>
  </si>
  <si>
    <t>10437: Zeros and Ones  </t>
  </si>
  <si>
    <t>452/1595</t>
  </si>
  <si>
    <t>10456: Largest Square  </t>
  </si>
  <si>
    <t>0/73</t>
  </si>
  <si>
    <t>10465: Necklace  </t>
  </si>
  <si>
    <t>181/859</t>
  </si>
  <si>
    <t>10468: Maximum Product  </t>
  </si>
  <si>
    <t>306/2649</t>
  </si>
  <si>
    <t>10471: COUNTING CHAOS  </t>
  </si>
  <si>
    <t>153/596</t>
  </si>
  <si>
    <t>10500: Brick Wall Patterns  </t>
  </si>
  <si>
    <t>555/2175</t>
  </si>
  <si>
    <t>10501: Safe Salutations  </t>
  </si>
  <si>
    <t>392/2379</t>
  </si>
  <si>
    <t>10503: Show the Sequence  </t>
  </si>
  <si>
    <t>177/1157</t>
  </si>
  <si>
    <t>10505: Center of Masses  </t>
  </si>
  <si>
    <t>20/241</t>
  </si>
  <si>
    <t>10520: Conformity  </t>
  </si>
  <si>
    <t>478/1668</t>
  </si>
  <si>
    <t>10528: Light, more light  </t>
  </si>
  <si>
    <t>317/1390</t>
  </si>
  <si>
    <t>10531: Zipf's Law  </t>
  </si>
  <si>
    <t>169/1343</t>
  </si>
  <si>
    <t>10533: The Trip  </t>
  </si>
  <si>
    <t>80/668</t>
  </si>
  <si>
    <t>10535: Prime Distance  </t>
  </si>
  <si>
    <t>160/1080</t>
  </si>
  <si>
    <t>394/1018</t>
  </si>
  <si>
    <t>10552: Automated Judge Script  </t>
  </si>
  <si>
    <t>173/689</t>
  </si>
  <si>
    <t>10559: I Love Big Numbers !  </t>
  </si>
  <si>
    <t>260/927</t>
  </si>
  <si>
    <t>10567: Common Permutation  </t>
  </si>
  <si>
    <t>580/2319</t>
  </si>
  <si>
    <t>10579: Hay Points  </t>
  </si>
  <si>
    <t>397/698</t>
  </si>
  <si>
    <t>10582: Power Strings  </t>
  </si>
  <si>
    <t>281/1555</t>
  </si>
  <si>
    <t>10600: Network Connections  </t>
  </si>
  <si>
    <t>125/725</t>
  </si>
  <si>
    <t>10601: Eternal Truths  </t>
  </si>
  <si>
    <t>49/260</t>
  </si>
  <si>
    <t>10602: Longest Paths  </t>
  </si>
  <si>
    <t>91/544</t>
  </si>
  <si>
    <t>10603: Cutting Sticks  </t>
  </si>
  <si>
    <t>114/299</t>
  </si>
  <si>
    <t>10604: Packing polygons  </t>
  </si>
  <si>
    <t>12/69</t>
  </si>
  <si>
    <t>10605: Count the Trees  </t>
  </si>
  <si>
    <t>40/90</t>
  </si>
  <si>
    <t>10606: How Big Is It?  </t>
  </si>
  <si>
    <t>55/505</t>
  </si>
  <si>
    <t>10607: Joseph's Cousin  </t>
  </si>
  <si>
    <t>280/1294</t>
  </si>
  <si>
    <t>10608: Minimal coverage  </t>
  </si>
  <si>
    <t>147/1064</t>
  </si>
  <si>
    <t>10610: Curling up the cube  </t>
  </si>
  <si>
    <t>29/120</t>
  </si>
  <si>
    <t>10613: Tug of War  </t>
  </si>
  <si>
    <t>15/90</t>
  </si>
  <si>
    <t>10615: Divisibility  </t>
  </si>
  <si>
    <t>193/607</t>
  </si>
  <si>
    <t>10621: Luggage  </t>
  </si>
  <si>
    <t>335/1324</t>
  </si>
  <si>
    <t>10633: Take the Land  </t>
  </si>
  <si>
    <t>120/333</t>
  </si>
  <si>
    <t>10636: Gopher II  </t>
  </si>
  <si>
    <t>18/104</t>
  </si>
  <si>
    <t>10637: Tight words  </t>
  </si>
  <si>
    <t>89/287</t>
  </si>
  <si>
    <t>10642: Marbles  </t>
  </si>
  <si>
    <t>107/586</t>
  </si>
  <si>
    <t>10644: The Tourist Guide  </t>
  </si>
  <si>
    <t>81/289</t>
  </si>
  <si>
    <t>10645: Euclid Problem  </t>
  </si>
  <si>
    <t>40/149</t>
  </si>
  <si>
    <t>10655: Sumsets  </t>
  </si>
  <si>
    <t>436/2994</t>
  </si>
  <si>
    <t>10658: Is Bigger Smarter?  </t>
  </si>
  <si>
    <t>24/335</t>
  </si>
  <si>
    <t>10675: Urn-ball Probabilities!  </t>
  </si>
  <si>
    <t>28/70</t>
  </si>
  <si>
    <t>10679: Irreducible Basic Fractions  </t>
  </si>
  <si>
    <t>155/963</t>
  </si>
  <si>
    <t>10732: Snow Clearing  </t>
  </si>
  <si>
    <t>58/219</t>
  </si>
  <si>
    <t>10741: The Grand Dinner  </t>
  </si>
  <si>
    <t>5/104</t>
  </si>
  <si>
    <t>10766: Antimatter Ray Clearcutting  </t>
  </si>
  <si>
    <t>11/32</t>
  </si>
  <si>
    <t>10906: Matrix Decompressing  </t>
  </si>
  <si>
    <t>0/12</t>
  </si>
  <si>
    <t>11006: Rank the Languages  </t>
  </si>
  <si>
    <t>404/1242</t>
  </si>
  <si>
    <t>11017: Longest Common Subsequence  </t>
  </si>
  <si>
    <t>330/1462</t>
  </si>
  <si>
    <t>11019: Die Game  </t>
  </si>
  <si>
    <t>1092/3290</t>
  </si>
  <si>
    <t>11028: Digit Primes  </t>
  </si>
  <si>
    <t>216/704</t>
  </si>
  <si>
    <t>11041: Children's Game  </t>
  </si>
  <si>
    <t>482/2466</t>
  </si>
  <si>
    <t>11067: Cola  </t>
  </si>
  <si>
    <t>1206/5063</t>
  </si>
  <si>
    <t>11130: The Priest Mathematician  </t>
  </si>
  <si>
    <t>45/331</t>
  </si>
  <si>
    <t>11174: Homer Simpson  </t>
  </si>
  <si>
    <t>495/3760</t>
  </si>
  <si>
    <t>11179: Wavio Sequence  </t>
  </si>
  <si>
    <t>127/650</t>
  </si>
  <si>
    <t>11184: Opening Doors  </t>
  </si>
  <si>
    <t>9/76</t>
  </si>
  <si>
    <t>11192: Simple Minded Hashing  </t>
  </si>
  <si>
    <t>157/410</t>
  </si>
  <si>
    <t>11266: Generate random numbers  </t>
  </si>
  <si>
    <t>72/168</t>
  </si>
  <si>
    <t>2008-06: Parser and evaluator  </t>
  </si>
  <si>
    <t>17/194</t>
  </si>
  <si>
    <t>2008-19: Set partition  </t>
  </si>
  <si>
    <t>51/660</t>
  </si>
  <si>
    <t>2008-28: Longest monotonically increasing subsequence  </t>
  </si>
  <si>
    <t>72/430</t>
  </si>
  <si>
    <t>2008-37: Prefix expression evaluation  </t>
  </si>
  <si>
    <t>253/1232</t>
  </si>
  <si>
    <t>2009-02: Line Overlap Problem  </t>
  </si>
  <si>
    <t>37/606</t>
  </si>
  <si>
    <t>2009-17: Binary tree traversals  </t>
  </si>
  <si>
    <t>109/523</t>
  </si>
  <si>
    <t>2009-24: Unique lines  </t>
  </si>
  <si>
    <t>197/1485</t>
  </si>
  <si>
    <t>2015-01: Missing Numbers  </t>
  </si>
  <si>
    <t>236/2044</t>
  </si>
  <si>
    <t>2015-02: Recursion and Mod  </t>
  </si>
  <si>
    <t>217/2006</t>
  </si>
  <si>
    <t>2015-03: Sudoku (As Good As Lee Hsien Loong)  </t>
  </si>
  <si>
    <t>20/200</t>
  </si>
  <si>
    <t>2015-04: The N-th Element  </t>
  </si>
  <si>
    <t>15/1073</t>
  </si>
  <si>
    <t>2015-07: Minimum Path Sum  </t>
  </si>
  <si>
    <t>254/952</t>
  </si>
  <si>
    <t>2015-08: Climbing Stairs  </t>
  </si>
  <si>
    <t>160/2582</t>
  </si>
  <si>
    <t>2015-09: Longest Increasing Subsequence  </t>
  </si>
  <si>
    <t>324/1407</t>
  </si>
  <si>
    <t>21944: Power Crisis  </t>
  </si>
  <si>
    <t>533/2386</t>
  </si>
  <si>
    <t>21964: Fill the Containers  </t>
  </si>
  <si>
    <t>105/526</t>
  </si>
  <si>
    <t>22151: Big Mod  </t>
  </si>
  <si>
    <t>308/2139</t>
  </si>
  <si>
    <t>22161: Euclid Problem  </t>
  </si>
  <si>
    <t>116/469</t>
  </si>
  <si>
    <t>193/768</t>
  </si>
  <si>
    <t>22181: Dollars  </t>
  </si>
  <si>
    <t>220/910</t>
  </si>
  <si>
    <t>22351: Quirksome Squares  </t>
  </si>
  <si>
    <t>417/1341</t>
  </si>
  <si>
    <t>22821: Oil Deposits  </t>
  </si>
  <si>
    <t>528/1884</t>
  </si>
  <si>
    <t>23551: Largest Square  </t>
  </si>
  <si>
    <t>530/2489</t>
  </si>
  <si>
    <t>23571: Smith Numbers  </t>
  </si>
  <si>
    <t>210/1078</t>
  </si>
  <si>
    <t>23581: Glass Beads  </t>
  </si>
  <si>
    <t>88/202</t>
  </si>
  <si>
    <t>23651: The jackpot  </t>
  </si>
  <si>
    <t>435/2157</t>
  </si>
  <si>
    <t>23661: Bit Mask  </t>
  </si>
  <si>
    <t>118/419</t>
  </si>
  <si>
    <t>23671: Camel trading  </t>
  </si>
  <si>
    <t>293/1404</t>
  </si>
  <si>
    <t>23681: Bachet's Game  </t>
  </si>
  <si>
    <t>105/211</t>
  </si>
  <si>
    <t>23771: Lexicographic Order  </t>
  </si>
  <si>
    <t>73/373</t>
  </si>
  <si>
    <t>23781: Making Change  </t>
  </si>
  <si>
    <t>74/323</t>
  </si>
  <si>
    <t>24461: Sum of Consecutive Prime Numbers  </t>
  </si>
  <si>
    <t>404/688</t>
  </si>
  <si>
    <t>24681: Perfection  </t>
  </si>
  <si>
    <t>993/4145</t>
  </si>
  <si>
    <t>24731: Roads in the North  </t>
  </si>
  <si>
    <t>89/416</t>
  </si>
  <si>
    <t>24911: Robot Instructions  </t>
  </si>
  <si>
    <t>964/2550</t>
  </si>
  <si>
    <t>308/2013</t>
  </si>
  <si>
    <t>24941: Uncompress  </t>
  </si>
  <si>
    <t>202/600</t>
  </si>
  <si>
    <t>25081: Solving Maze Problems  </t>
  </si>
  <si>
    <t>54/326</t>
  </si>
  <si>
    <t>寫過了嗎？</t>
    <phoneticPr fontId="1" type="noConversion"/>
  </si>
  <si>
    <t>24931: Extend to Palindromes  </t>
    <phoneticPr fontId="1" type="noConversion"/>
  </si>
  <si>
    <t>10551: Bee Maja  </t>
    <phoneticPr fontId="1" type="noConversion"/>
  </si>
  <si>
    <t>完成率</t>
    <phoneticPr fontId="1" type="noConversion"/>
  </si>
  <si>
    <t>複習率</t>
    <phoneticPr fontId="1" type="noConversion"/>
  </si>
  <si>
    <t>10566 : Fourth Point!!</t>
    <phoneticPr fontId="1" type="noConversion"/>
  </si>
  <si>
    <t>10404: Primary Arithmetic</t>
    <phoneticPr fontId="1" type="noConversion"/>
  </si>
  <si>
    <t>10709: Recover Factorial</t>
    <phoneticPr fontId="1" type="noConversion"/>
  </si>
  <si>
    <t>10023: Square root</t>
    <phoneticPr fontId="1" type="noConversion"/>
  </si>
  <si>
    <t>10036: Divisibility</t>
    <phoneticPr fontId="1" type="noConversion"/>
  </si>
  <si>
    <t>10008: What's Cryptanalysis</t>
    <phoneticPr fontId="1" type="noConversion"/>
  </si>
  <si>
    <t>Leetcode 1608: Search in Special array</t>
    <phoneticPr fontId="1" type="noConversion"/>
  </si>
  <si>
    <t>299: Train swapping</t>
    <phoneticPr fontId="1" type="noConversion"/>
  </si>
  <si>
    <t>Leetcode 1122: Relative Sort Array</t>
    <phoneticPr fontId="1" type="noConversion"/>
  </si>
  <si>
    <t>10107: What is the Median?</t>
    <phoneticPr fontId="1" type="noConversion"/>
  </si>
  <si>
    <t>722: Lakes</t>
    <phoneticPr fontId="1" type="noConversion"/>
  </si>
  <si>
    <t>22171: Dungeon Master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</si>
</sst>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000000"/>
      <name val="Microsoft JhengHei"/>
      <family val="2"/>
      <charset val="136"/>
    </font>
    <font>
      <sz val="12"/>
      <color rgb="FF000000"/>
      <name val="Microsoft JhengHei"/>
      <family val="2"/>
      <charset val="136"/>
    </font>
    <font>
      <i/>
      <sz val="12"/>
      <color rgb="FF000000"/>
      <name val="Microsoft JhengHei"/>
      <family val="2"/>
      <charset val="136"/>
    </font>
    <font>
      <sz val="12"/>
      <color theme="1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5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4" fontId="3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9" fontId="2" fillId="0" borderId="0" xfId="0" applyNumberFormat="1" applyFont="1" applyAlignment="1">
      <alignment vertical="center" wrapText="1"/>
    </xf>
    <xf numFmtId="10" fontId="2" fillId="0" borderId="0" xfId="1" applyNumberFormat="1" applyFont="1" applyAlignment="1">
      <alignment vertical="center" wrapText="1"/>
    </xf>
  </cellXfs>
  <cellStyles count="2">
    <cellStyle name="一般" xfId="0" builtinId="0"/>
    <cellStyle name="百分比" xfId="1" builtinId="5"/>
  </cellStyles>
  <dxfs count="1">
    <dxf>
      <fill>
        <patternFill>
          <bgColor rgb="FFCCFFCC"/>
        </patternFill>
      </fill>
    </dxf>
  </dxfs>
  <tableStyles count="0" defaultTableStyle="TableStyleMedium2" defaultPivotStyle="PivotStyleLight16"/>
  <colors>
    <mruColors>
      <color rgb="FFFF0066"/>
      <color rgb="FF66FF99"/>
      <color rgb="FFCCFFCC"/>
      <color rgb="FFDAF2D0"/>
      <color rgb="FFFFCCCC"/>
      <color rgb="FFFFFFCC"/>
      <color rgb="FFFFFF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4C744-4366-43EF-B90C-A462B6A9762F}">
  <dimension ref="A1:O175"/>
  <sheetViews>
    <sheetView tabSelected="1" zoomScale="87" workbookViewId="0">
      <selection activeCell="I4" sqref="I4"/>
    </sheetView>
  </sheetViews>
  <sheetFormatPr defaultColWidth="9" defaultRowHeight="16.5"/>
  <cols>
    <col min="1" max="1" width="42" customWidth="1"/>
    <col min="4" max="4" width="11.875" customWidth="1"/>
    <col min="7" max="7" width="14.125" customWidth="1"/>
    <col min="8" max="8" width="14.5" customWidth="1"/>
    <col min="9" max="9" width="14.25" customWidth="1"/>
    <col min="12" max="12" width="14.5" customWidth="1"/>
    <col min="13" max="13" width="3" customWidth="1"/>
    <col min="15" max="15" width="14.875" customWidth="1"/>
  </cols>
  <sheetData>
    <row r="1" spans="1:15" ht="16.5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219</v>
      </c>
      <c r="K1" s="3" t="s">
        <v>222</v>
      </c>
      <c r="L1" s="7">
        <f>COUNTIF(I:I, "&gt;0")/(COUNTA(I:I)-1)</f>
        <v>0.16101694915254236</v>
      </c>
      <c r="N1" s="3" t="s">
        <v>223</v>
      </c>
      <c r="O1" s="7">
        <f>SUMIF(I:I, "&gt;0")/COUNTIF(I:I, "&gt;0") - 1</f>
        <v>0.10526315789473695</v>
      </c>
    </row>
    <row r="2" spans="1:15" ht="21" customHeight="1">
      <c r="A2" s="1" t="s">
        <v>157</v>
      </c>
      <c r="B2" s="1">
        <v>3</v>
      </c>
      <c r="C2" s="2">
        <v>0.13270000000000001</v>
      </c>
      <c r="D2" s="3" t="s">
        <v>158</v>
      </c>
      <c r="E2" s="1">
        <v>41</v>
      </c>
      <c r="F2" s="1">
        <v>7759</v>
      </c>
      <c r="G2" s="1">
        <v>9</v>
      </c>
      <c r="H2" s="4">
        <v>45441</v>
      </c>
      <c r="I2" s="1">
        <v>2</v>
      </c>
    </row>
    <row r="3" spans="1:15" ht="21" customHeight="1">
      <c r="A3" s="1" t="s">
        <v>235</v>
      </c>
      <c r="B3" s="1">
        <v>2</v>
      </c>
      <c r="C3" s="2">
        <v>0.25130000000000002</v>
      </c>
      <c r="D3" s="3" t="s">
        <v>181</v>
      </c>
      <c r="E3" s="1">
        <v>15</v>
      </c>
      <c r="F3" s="1">
        <v>4427</v>
      </c>
      <c r="G3" s="1">
        <v>6</v>
      </c>
      <c r="H3" s="4">
        <v>45917</v>
      </c>
      <c r="I3" s="1">
        <v>2</v>
      </c>
    </row>
    <row r="4" spans="1:15" ht="21" customHeight="1">
      <c r="A4" s="1" t="s">
        <v>171</v>
      </c>
      <c r="B4" s="1">
        <v>2</v>
      </c>
      <c r="C4" s="2">
        <v>0.2303</v>
      </c>
      <c r="D4" s="3" t="s">
        <v>172</v>
      </c>
      <c r="E4" s="1">
        <v>9</v>
      </c>
      <c r="F4" s="1">
        <v>4593</v>
      </c>
      <c r="G4" s="1">
        <v>6</v>
      </c>
      <c r="H4" s="4">
        <v>45721</v>
      </c>
      <c r="I4" s="1">
        <v>0</v>
      </c>
    </row>
    <row r="5" spans="1:15" ht="21" customHeight="1">
      <c r="A5" s="1" t="s">
        <v>163</v>
      </c>
      <c r="B5" s="5"/>
      <c r="C5" s="6">
        <v>0.1</v>
      </c>
      <c r="D5" s="3" t="s">
        <v>164</v>
      </c>
      <c r="E5" s="1">
        <v>8</v>
      </c>
      <c r="F5" s="1">
        <v>2383</v>
      </c>
      <c r="G5" s="1">
        <v>6</v>
      </c>
      <c r="H5" s="4">
        <v>45721</v>
      </c>
      <c r="I5" s="1">
        <v>1</v>
      </c>
    </row>
    <row r="6" spans="1:15" ht="21" customHeight="1">
      <c r="A6" s="1" t="s">
        <v>67</v>
      </c>
      <c r="B6" s="1">
        <v>1</v>
      </c>
      <c r="C6" s="2">
        <v>0.1724</v>
      </c>
      <c r="D6" s="3" t="s">
        <v>68</v>
      </c>
      <c r="E6" s="1">
        <v>10</v>
      </c>
      <c r="F6" s="1">
        <v>4154</v>
      </c>
      <c r="G6" s="1">
        <v>6</v>
      </c>
      <c r="H6" s="4">
        <v>45371</v>
      </c>
      <c r="I6" s="1">
        <v>0</v>
      </c>
    </row>
    <row r="7" spans="1:15" ht="21" customHeight="1">
      <c r="A7" s="1" t="s">
        <v>105</v>
      </c>
      <c r="B7" s="1">
        <v>3</v>
      </c>
      <c r="C7" s="2">
        <v>0.14560000000000001</v>
      </c>
      <c r="D7" s="3" t="s">
        <v>106</v>
      </c>
      <c r="E7" s="1">
        <v>18</v>
      </c>
      <c r="F7" s="1">
        <v>13488</v>
      </c>
      <c r="G7" s="1">
        <v>6</v>
      </c>
      <c r="H7" s="4">
        <v>44328</v>
      </c>
      <c r="I7" s="1">
        <v>1</v>
      </c>
    </row>
    <row r="8" spans="1:15" ht="21" customHeight="1">
      <c r="A8" s="1" t="s">
        <v>173</v>
      </c>
      <c r="B8" s="1">
        <v>3</v>
      </c>
      <c r="C8" s="2">
        <v>0.22339999999999999</v>
      </c>
      <c r="D8" s="3" t="s">
        <v>174</v>
      </c>
      <c r="E8" s="1">
        <v>28</v>
      </c>
      <c r="F8" s="1">
        <v>9512</v>
      </c>
      <c r="G8" s="1">
        <v>6</v>
      </c>
      <c r="H8" s="4">
        <v>44293</v>
      </c>
      <c r="I8" s="1">
        <v>1</v>
      </c>
    </row>
    <row r="9" spans="1:15" ht="21" customHeight="1">
      <c r="A9" s="1" t="s">
        <v>204</v>
      </c>
      <c r="B9" s="1">
        <v>2</v>
      </c>
      <c r="C9" s="2">
        <v>0.2291</v>
      </c>
      <c r="D9" s="3" t="s">
        <v>205</v>
      </c>
      <c r="E9" s="1">
        <v>20</v>
      </c>
      <c r="F9" s="1">
        <v>3347</v>
      </c>
      <c r="G9" s="1">
        <v>5</v>
      </c>
      <c r="H9" s="4">
        <v>45917</v>
      </c>
      <c r="I9" s="1">
        <v>0</v>
      </c>
    </row>
    <row r="10" spans="1:15" ht="21" customHeight="1">
      <c r="A10" s="1" t="s">
        <v>215</v>
      </c>
      <c r="B10" s="1">
        <v>3</v>
      </c>
      <c r="C10" s="2">
        <v>0.3367</v>
      </c>
      <c r="D10" s="3" t="s">
        <v>216</v>
      </c>
      <c r="E10" s="1">
        <v>21</v>
      </c>
      <c r="F10" s="1">
        <v>4658</v>
      </c>
      <c r="G10" s="1">
        <v>5</v>
      </c>
      <c r="H10" s="4">
        <v>45371</v>
      </c>
      <c r="I10" s="1">
        <v>1</v>
      </c>
    </row>
    <row r="11" spans="1:15" ht="21" customHeight="1">
      <c r="A11" s="1" t="s">
        <v>83</v>
      </c>
      <c r="B11" s="1">
        <v>2</v>
      </c>
      <c r="C11" s="2">
        <v>0.13819999999999999</v>
      </c>
      <c r="D11" s="3" t="s">
        <v>84</v>
      </c>
      <c r="E11" s="1">
        <v>25</v>
      </c>
      <c r="F11" s="1">
        <v>4140</v>
      </c>
      <c r="G11" s="1">
        <v>5</v>
      </c>
      <c r="H11" s="4">
        <v>45217</v>
      </c>
      <c r="I11" s="1">
        <v>0</v>
      </c>
    </row>
    <row r="12" spans="1:15" ht="21" customHeight="1">
      <c r="A12" s="1" t="s">
        <v>91</v>
      </c>
      <c r="B12" s="1">
        <v>3</v>
      </c>
      <c r="C12" s="2">
        <v>0.253</v>
      </c>
      <c r="D12" s="3" t="s">
        <v>92</v>
      </c>
      <c r="E12" s="1">
        <v>18</v>
      </c>
      <c r="F12" s="1">
        <v>6938</v>
      </c>
      <c r="G12" s="1">
        <v>5</v>
      </c>
      <c r="H12" s="4">
        <v>45203</v>
      </c>
      <c r="I12" s="1">
        <v>0</v>
      </c>
    </row>
    <row r="13" spans="1:15" ht="21" customHeight="1">
      <c r="A13" s="1" t="s">
        <v>221</v>
      </c>
      <c r="B13" s="1">
        <v>3</v>
      </c>
      <c r="C13" s="2">
        <v>0.38700000000000001</v>
      </c>
      <c r="D13" s="3" t="s">
        <v>56</v>
      </c>
      <c r="E13" s="1">
        <v>21</v>
      </c>
      <c r="F13" s="1">
        <v>5268</v>
      </c>
      <c r="G13" s="1">
        <v>5</v>
      </c>
      <c r="H13" s="4">
        <v>44312</v>
      </c>
      <c r="I13" s="1">
        <v>1</v>
      </c>
    </row>
    <row r="14" spans="1:15" ht="21" customHeight="1">
      <c r="A14" s="1" t="s">
        <v>42</v>
      </c>
      <c r="B14" s="1">
        <v>2</v>
      </c>
      <c r="C14" s="2">
        <v>0.153</v>
      </c>
      <c r="D14" s="3" t="s">
        <v>43</v>
      </c>
      <c r="E14" s="1">
        <v>19</v>
      </c>
      <c r="F14" s="1">
        <v>8263</v>
      </c>
      <c r="G14" s="1">
        <v>5</v>
      </c>
      <c r="H14" s="4">
        <v>44277</v>
      </c>
      <c r="I14" s="1">
        <v>1</v>
      </c>
    </row>
    <row r="15" spans="1:15" ht="21" customHeight="1">
      <c r="A15" s="1" t="s">
        <v>220</v>
      </c>
      <c r="B15" s="1">
        <v>2</v>
      </c>
      <c r="C15" s="2">
        <v>0.153</v>
      </c>
      <c r="D15" s="3" t="s">
        <v>214</v>
      </c>
      <c r="E15" s="1">
        <v>22</v>
      </c>
      <c r="F15" s="1">
        <v>6746</v>
      </c>
      <c r="G15" s="1">
        <v>5</v>
      </c>
      <c r="H15" s="4">
        <v>44277</v>
      </c>
      <c r="I15" s="1">
        <v>1</v>
      </c>
    </row>
    <row r="16" spans="1:15" ht="21" customHeight="1">
      <c r="A16" s="1" t="s">
        <v>8</v>
      </c>
      <c r="B16" s="1">
        <v>3</v>
      </c>
      <c r="C16" s="2">
        <v>0.25230000000000002</v>
      </c>
      <c r="D16" s="3" t="s">
        <v>9</v>
      </c>
      <c r="E16" s="1">
        <v>32</v>
      </c>
      <c r="F16" s="1">
        <v>3285</v>
      </c>
      <c r="G16" s="1">
        <v>4</v>
      </c>
      <c r="H16" s="4">
        <v>45721</v>
      </c>
      <c r="I16" s="1">
        <v>1</v>
      </c>
    </row>
    <row r="17" spans="1:9" ht="21" customHeight="1">
      <c r="A17" s="1" t="s">
        <v>151</v>
      </c>
      <c r="B17" s="1">
        <v>3</v>
      </c>
      <c r="C17" s="2">
        <v>0.2054</v>
      </c>
      <c r="D17" s="3" t="s">
        <v>152</v>
      </c>
      <c r="E17" s="1">
        <v>39</v>
      </c>
      <c r="F17" s="1">
        <v>5830</v>
      </c>
      <c r="G17" s="1">
        <v>4</v>
      </c>
      <c r="H17" s="4">
        <v>45441</v>
      </c>
      <c r="I17" s="1">
        <v>1</v>
      </c>
    </row>
    <row r="18" spans="1:9" ht="21" customHeight="1">
      <c r="A18" s="1" t="s">
        <v>111</v>
      </c>
      <c r="B18" s="1">
        <v>1</v>
      </c>
      <c r="C18" s="2">
        <v>0.161</v>
      </c>
      <c r="D18" s="3" t="s">
        <v>112</v>
      </c>
      <c r="E18" s="1">
        <v>11</v>
      </c>
      <c r="F18" s="1">
        <v>4017</v>
      </c>
      <c r="G18" s="1">
        <v>4</v>
      </c>
      <c r="H18" s="4">
        <v>45371</v>
      </c>
      <c r="I18" s="1">
        <v>0</v>
      </c>
    </row>
    <row r="19" spans="1:9" ht="21" customHeight="1">
      <c r="A19" s="1" t="s">
        <v>196</v>
      </c>
      <c r="B19" s="1">
        <v>2</v>
      </c>
      <c r="C19" s="2">
        <v>0.28160000000000002</v>
      </c>
      <c r="D19" s="3" t="s">
        <v>197</v>
      </c>
      <c r="E19" s="1">
        <v>8</v>
      </c>
      <c r="F19" s="1">
        <v>2922</v>
      </c>
      <c r="G19" s="1">
        <v>4</v>
      </c>
      <c r="H19" s="4">
        <v>45364</v>
      </c>
      <c r="I19" s="1">
        <v>0</v>
      </c>
    </row>
    <row r="20" spans="1:9" ht="21" customHeight="1">
      <c r="A20" s="1" t="s">
        <v>190</v>
      </c>
      <c r="B20" s="1">
        <v>2</v>
      </c>
      <c r="C20" s="2">
        <v>0.1948</v>
      </c>
      <c r="D20" s="3" t="s">
        <v>191</v>
      </c>
      <c r="E20" s="1">
        <v>21</v>
      </c>
      <c r="F20" s="1">
        <v>4393</v>
      </c>
      <c r="G20" s="1">
        <v>4</v>
      </c>
      <c r="H20" s="4">
        <v>45364</v>
      </c>
      <c r="I20" s="1">
        <v>0</v>
      </c>
    </row>
    <row r="21" spans="1:9" ht="21" customHeight="1">
      <c r="A21" s="1" t="s">
        <v>188</v>
      </c>
      <c r="B21" s="1">
        <v>2</v>
      </c>
      <c r="C21" s="2">
        <v>0.21290000000000001</v>
      </c>
      <c r="D21" s="3" t="s">
        <v>189</v>
      </c>
      <c r="E21" s="1">
        <v>16</v>
      </c>
      <c r="F21" s="1">
        <v>6968</v>
      </c>
      <c r="G21" s="1">
        <v>4</v>
      </c>
      <c r="H21" s="4">
        <v>45357</v>
      </c>
      <c r="I21" s="1">
        <v>0</v>
      </c>
    </row>
    <row r="22" spans="1:9" ht="21" customHeight="1">
      <c r="A22" s="1" t="s">
        <v>153</v>
      </c>
      <c r="B22" s="1">
        <v>2</v>
      </c>
      <c r="C22" s="2">
        <v>6.1100000000000002E-2</v>
      </c>
      <c r="D22" s="3" t="s">
        <v>154</v>
      </c>
      <c r="E22" s="1">
        <v>24</v>
      </c>
      <c r="F22" s="1">
        <v>3775</v>
      </c>
      <c r="G22" s="1">
        <v>4</v>
      </c>
      <c r="H22" s="4">
        <v>45357</v>
      </c>
      <c r="I22" s="1">
        <v>0</v>
      </c>
    </row>
    <row r="23" spans="1:9" ht="21" customHeight="1">
      <c r="A23" s="1" t="s">
        <v>97</v>
      </c>
      <c r="B23" s="1">
        <v>2</v>
      </c>
      <c r="C23" s="2">
        <v>0.31009999999999999</v>
      </c>
      <c r="D23" s="3" t="s">
        <v>98</v>
      </c>
      <c r="E23" s="1">
        <v>7</v>
      </c>
      <c r="F23" s="1">
        <v>2267</v>
      </c>
      <c r="G23" s="1">
        <v>4</v>
      </c>
      <c r="H23" s="4">
        <v>45217</v>
      </c>
      <c r="I23" s="1">
        <v>0</v>
      </c>
    </row>
    <row r="24" spans="1:9" ht="21" customHeight="1">
      <c r="A24" s="1" t="s">
        <v>186</v>
      </c>
      <c r="B24" s="1">
        <v>3</v>
      </c>
      <c r="C24" s="2">
        <v>0.28029999999999999</v>
      </c>
      <c r="D24" s="3" t="s">
        <v>187</v>
      </c>
      <c r="E24" s="1">
        <v>16</v>
      </c>
      <c r="F24" s="1">
        <v>5908</v>
      </c>
      <c r="G24" s="1">
        <v>4</v>
      </c>
      <c r="H24" s="4">
        <v>45217</v>
      </c>
      <c r="I24" s="1">
        <v>1</v>
      </c>
    </row>
    <row r="25" spans="1:9" ht="21" customHeight="1">
      <c r="A25" s="1" t="s">
        <v>169</v>
      </c>
      <c r="B25" s="1">
        <v>1</v>
      </c>
      <c r="C25" s="2">
        <v>6.2E-2</v>
      </c>
      <c r="D25" s="3" t="s">
        <v>170</v>
      </c>
      <c r="E25" s="1">
        <v>7</v>
      </c>
      <c r="F25" s="1">
        <v>5923</v>
      </c>
      <c r="G25" s="1">
        <v>4</v>
      </c>
      <c r="H25" s="4">
        <v>45217</v>
      </c>
      <c r="I25" s="1">
        <v>0</v>
      </c>
    </row>
    <row r="26" spans="1:9" ht="21" customHeight="1">
      <c r="A26" s="1" t="s">
        <v>210</v>
      </c>
      <c r="B26" s="1">
        <v>2</v>
      </c>
      <c r="C26" s="2">
        <v>0.21390000000000001</v>
      </c>
      <c r="D26" s="3" t="s">
        <v>211</v>
      </c>
      <c r="E26" s="1">
        <v>17</v>
      </c>
      <c r="F26" s="1">
        <v>4280</v>
      </c>
      <c r="G26" s="1">
        <v>4</v>
      </c>
      <c r="H26" s="4">
        <v>44328</v>
      </c>
      <c r="I26" s="1">
        <v>0</v>
      </c>
    </row>
    <row r="27" spans="1:9" ht="21" customHeight="1">
      <c r="A27" s="1" t="s">
        <v>71</v>
      </c>
      <c r="B27" s="1">
        <v>1</v>
      </c>
      <c r="C27" s="2">
        <v>0.1673</v>
      </c>
      <c r="D27" s="3" t="s">
        <v>72</v>
      </c>
      <c r="E27" s="1">
        <v>7</v>
      </c>
      <c r="F27" s="1">
        <v>4034</v>
      </c>
      <c r="G27" s="1">
        <v>4</v>
      </c>
      <c r="H27" s="4">
        <v>44328</v>
      </c>
      <c r="I27" s="1">
        <v>0</v>
      </c>
    </row>
    <row r="28" spans="1:9" ht="21" customHeight="1">
      <c r="A28" s="1" t="s">
        <v>24</v>
      </c>
      <c r="B28" s="1">
        <v>2</v>
      </c>
      <c r="C28" s="2">
        <v>0.1888</v>
      </c>
      <c r="D28" s="3" t="s">
        <v>25</v>
      </c>
      <c r="E28" s="1">
        <v>18</v>
      </c>
      <c r="F28" s="1">
        <v>6426</v>
      </c>
      <c r="G28" s="1">
        <v>4</v>
      </c>
      <c r="H28" s="4">
        <v>44293</v>
      </c>
      <c r="I28" s="1">
        <v>0</v>
      </c>
    </row>
    <row r="29" spans="1:9" ht="21" customHeight="1">
      <c r="A29" s="1" t="s">
        <v>54</v>
      </c>
      <c r="B29" s="1">
        <v>1</v>
      </c>
      <c r="C29" s="2">
        <v>0.14810000000000001</v>
      </c>
      <c r="D29" s="3" t="s">
        <v>55</v>
      </c>
      <c r="E29" s="1">
        <v>7</v>
      </c>
      <c r="F29" s="1">
        <v>6809</v>
      </c>
      <c r="G29" s="1">
        <v>4</v>
      </c>
      <c r="H29" s="4">
        <v>44277</v>
      </c>
      <c r="I29" s="1">
        <v>0</v>
      </c>
    </row>
    <row r="30" spans="1:9" ht="21" customHeight="1">
      <c r="A30" s="1" t="s">
        <v>182</v>
      </c>
      <c r="B30" s="1">
        <v>3</v>
      </c>
      <c r="C30" s="2">
        <v>0.24179999999999999</v>
      </c>
      <c r="D30" s="3" t="s">
        <v>183</v>
      </c>
      <c r="E30" s="1">
        <v>19</v>
      </c>
      <c r="F30" s="1">
        <v>5531</v>
      </c>
      <c r="G30" s="1">
        <v>4</v>
      </c>
      <c r="H30" s="4">
        <v>44214</v>
      </c>
      <c r="I30" s="1">
        <v>1</v>
      </c>
    </row>
    <row r="31" spans="1:9" ht="21" customHeight="1">
      <c r="A31" s="1" t="s">
        <v>147</v>
      </c>
      <c r="B31" s="1">
        <v>2</v>
      </c>
      <c r="C31" s="2">
        <v>7.7299999999999994E-2</v>
      </c>
      <c r="D31" s="3" t="s">
        <v>148</v>
      </c>
      <c r="E31" s="1">
        <v>30</v>
      </c>
      <c r="F31" s="1">
        <v>4997</v>
      </c>
      <c r="G31" s="1">
        <v>4</v>
      </c>
      <c r="H31" s="4">
        <v>44165</v>
      </c>
      <c r="I31" s="1">
        <v>0</v>
      </c>
    </row>
    <row r="32" spans="1:9" ht="21" customHeight="1">
      <c r="A32" s="1" t="s">
        <v>125</v>
      </c>
      <c r="B32" s="1">
        <v>3</v>
      </c>
      <c r="C32" s="2">
        <v>0.33189999999999997</v>
      </c>
      <c r="D32" s="3" t="s">
        <v>126</v>
      </c>
      <c r="E32" s="1">
        <v>15</v>
      </c>
      <c r="F32" s="1">
        <v>13250</v>
      </c>
      <c r="G32" s="1">
        <v>4</v>
      </c>
      <c r="H32" s="4">
        <v>44085</v>
      </c>
      <c r="I32" s="1">
        <v>0</v>
      </c>
    </row>
    <row r="33" spans="1:9" ht="21" customHeight="1">
      <c r="A33" s="1" t="s">
        <v>85</v>
      </c>
      <c r="B33" s="1">
        <v>1</v>
      </c>
      <c r="C33" s="2">
        <v>0.2417</v>
      </c>
      <c r="D33" s="3" t="s">
        <v>86</v>
      </c>
      <c r="E33" s="1">
        <v>5</v>
      </c>
      <c r="F33" s="1">
        <v>1488</v>
      </c>
      <c r="G33" s="1">
        <v>4</v>
      </c>
      <c r="H33" s="4">
        <v>44085</v>
      </c>
      <c r="I33" s="1">
        <v>0</v>
      </c>
    </row>
    <row r="34" spans="1:9" ht="21" customHeight="1">
      <c r="A34" s="1" t="s">
        <v>87</v>
      </c>
      <c r="B34" s="5"/>
      <c r="C34" s="2">
        <v>0.16669999999999999</v>
      </c>
      <c r="D34" s="3" t="s">
        <v>88</v>
      </c>
      <c r="E34" s="1">
        <v>3</v>
      </c>
      <c r="F34" s="1">
        <v>675</v>
      </c>
      <c r="G34" s="1">
        <v>3</v>
      </c>
      <c r="H34" s="4">
        <v>45441</v>
      </c>
      <c r="I34" s="1">
        <v>0</v>
      </c>
    </row>
    <row r="35" spans="1:9" ht="21" customHeight="1">
      <c r="A35" s="1" t="s">
        <v>38</v>
      </c>
      <c r="B35" s="1">
        <v>2</v>
      </c>
      <c r="C35" s="2">
        <v>0.25519999999999998</v>
      </c>
      <c r="D35" s="3" t="s">
        <v>39</v>
      </c>
      <c r="E35" s="1">
        <v>5</v>
      </c>
      <c r="F35" s="1">
        <v>8262</v>
      </c>
      <c r="G35" s="1">
        <v>3</v>
      </c>
      <c r="H35" s="4">
        <v>45371</v>
      </c>
      <c r="I35" s="1">
        <v>0</v>
      </c>
    </row>
    <row r="36" spans="1:9" ht="21" customHeight="1">
      <c r="A36" s="1" t="s">
        <v>165</v>
      </c>
      <c r="B36" s="5"/>
      <c r="C36" s="2">
        <v>1.4E-2</v>
      </c>
      <c r="D36" s="3" t="s">
        <v>166</v>
      </c>
      <c r="E36" s="1">
        <v>8</v>
      </c>
      <c r="F36" s="1">
        <v>2454</v>
      </c>
      <c r="G36" s="1">
        <v>3</v>
      </c>
      <c r="H36" s="4">
        <v>45364</v>
      </c>
      <c r="I36" s="1">
        <v>0</v>
      </c>
    </row>
    <row r="37" spans="1:9" ht="21" customHeight="1">
      <c r="A37" s="1" t="s">
        <v>93</v>
      </c>
      <c r="B37" s="1">
        <v>2</v>
      </c>
      <c r="C37" s="2">
        <v>0.3604</v>
      </c>
      <c r="D37" s="3" t="s">
        <v>94</v>
      </c>
      <c r="E37" s="1">
        <v>9</v>
      </c>
      <c r="F37" s="1">
        <v>2175</v>
      </c>
      <c r="G37" s="1">
        <v>3</v>
      </c>
      <c r="H37" s="4">
        <v>45217</v>
      </c>
      <c r="I37" s="1">
        <v>0</v>
      </c>
    </row>
    <row r="38" spans="1:9" ht="21" customHeight="1">
      <c r="A38" s="1" t="s">
        <v>81</v>
      </c>
      <c r="B38" s="1">
        <v>2</v>
      </c>
      <c r="C38" s="2">
        <v>0.21640000000000001</v>
      </c>
      <c r="D38" s="3" t="s">
        <v>82</v>
      </c>
      <c r="E38" s="1">
        <v>13</v>
      </c>
      <c r="F38" s="1">
        <v>8807</v>
      </c>
      <c r="G38" s="1">
        <v>3</v>
      </c>
      <c r="H38" s="4">
        <v>45203</v>
      </c>
      <c r="I38" s="1">
        <v>0</v>
      </c>
    </row>
    <row r="39" spans="1:9" ht="21" customHeight="1">
      <c r="A39" s="1" t="s">
        <v>75</v>
      </c>
      <c r="B39" s="5"/>
      <c r="C39" s="2">
        <v>0.1739</v>
      </c>
      <c r="D39" s="3" t="s">
        <v>76</v>
      </c>
      <c r="E39" s="1">
        <v>3</v>
      </c>
      <c r="F39" s="1">
        <v>953</v>
      </c>
      <c r="G39" s="1">
        <v>3</v>
      </c>
      <c r="H39" s="4">
        <v>45203</v>
      </c>
      <c r="I39" s="1">
        <v>0</v>
      </c>
    </row>
    <row r="40" spans="1:9" ht="21" customHeight="1">
      <c r="A40" s="1" t="s">
        <v>123</v>
      </c>
      <c r="B40" s="1">
        <v>2</v>
      </c>
      <c r="C40" s="2">
        <v>0.22570000000000001</v>
      </c>
      <c r="D40" s="3" t="s">
        <v>124</v>
      </c>
      <c r="E40" s="1">
        <v>13</v>
      </c>
      <c r="F40" s="1">
        <v>4950</v>
      </c>
      <c r="G40" s="1">
        <v>3</v>
      </c>
      <c r="H40" s="4">
        <v>44328</v>
      </c>
      <c r="I40" s="1">
        <v>0</v>
      </c>
    </row>
    <row r="41" spans="1:9" ht="21" customHeight="1">
      <c r="A41" s="1" t="s">
        <v>121</v>
      </c>
      <c r="B41" s="1">
        <v>3</v>
      </c>
      <c r="C41" s="2">
        <v>0.32529999999999998</v>
      </c>
      <c r="D41" s="3" t="s">
        <v>122</v>
      </c>
      <c r="E41" s="1">
        <v>23</v>
      </c>
      <c r="F41" s="1">
        <v>6414</v>
      </c>
      <c r="G41" s="1">
        <v>3</v>
      </c>
      <c r="H41" s="4">
        <v>44293</v>
      </c>
      <c r="I41" s="1">
        <v>0</v>
      </c>
    </row>
    <row r="42" spans="1:9" ht="21" customHeight="1">
      <c r="A42" s="1" t="s">
        <v>141</v>
      </c>
      <c r="B42" s="1">
        <v>2</v>
      </c>
      <c r="C42" s="2">
        <v>0.38290000000000002</v>
      </c>
      <c r="D42" s="3" t="s">
        <v>142</v>
      </c>
      <c r="E42" s="1">
        <v>6</v>
      </c>
      <c r="F42" s="1">
        <v>2898</v>
      </c>
      <c r="G42" s="1">
        <v>3</v>
      </c>
      <c r="H42" s="4">
        <v>44265</v>
      </c>
      <c r="I42" s="1">
        <v>0</v>
      </c>
    </row>
    <row r="43" spans="1:9" ht="21" customHeight="1">
      <c r="A43" s="1" t="s">
        <v>179</v>
      </c>
      <c r="B43" s="1">
        <v>1</v>
      </c>
      <c r="C43" s="2">
        <v>0.24729999999999999</v>
      </c>
      <c r="D43" s="3" t="s">
        <v>180</v>
      </c>
      <c r="E43" s="1">
        <v>6</v>
      </c>
      <c r="F43" s="1">
        <v>2260</v>
      </c>
      <c r="G43" s="1">
        <v>3</v>
      </c>
      <c r="H43" s="4">
        <v>44265</v>
      </c>
      <c r="I43" s="1">
        <v>0</v>
      </c>
    </row>
    <row r="44" spans="1:9" ht="21" customHeight="1">
      <c r="A44" s="1" t="s">
        <v>101</v>
      </c>
      <c r="B44" s="1">
        <v>1</v>
      </c>
      <c r="C44" s="2">
        <v>0.28029999999999999</v>
      </c>
      <c r="D44" s="3" t="s">
        <v>102</v>
      </c>
      <c r="E44" s="1">
        <v>5</v>
      </c>
      <c r="F44" s="1">
        <v>2502</v>
      </c>
      <c r="G44" s="1">
        <v>3</v>
      </c>
      <c r="H44" s="4">
        <v>44214</v>
      </c>
      <c r="I44" s="1">
        <v>0</v>
      </c>
    </row>
    <row r="45" spans="1:9" ht="21" customHeight="1">
      <c r="A45" s="1" t="s">
        <v>107</v>
      </c>
      <c r="B45" s="5"/>
      <c r="C45" s="2">
        <v>7.1599999999999997E-2</v>
      </c>
      <c r="D45" s="3" t="s">
        <v>108</v>
      </c>
      <c r="E45" s="1">
        <v>6</v>
      </c>
      <c r="F45" s="1">
        <v>1836</v>
      </c>
      <c r="G45" s="1">
        <v>3</v>
      </c>
      <c r="H45" s="4">
        <v>44202</v>
      </c>
      <c r="I45" s="1">
        <v>0</v>
      </c>
    </row>
    <row r="46" spans="1:9" ht="24" customHeight="1">
      <c r="A46" s="1" t="s">
        <v>73</v>
      </c>
      <c r="B46" s="1">
        <v>2</v>
      </c>
      <c r="C46" s="2">
        <v>0.38129999999999997</v>
      </c>
      <c r="D46" s="3" t="s">
        <v>74</v>
      </c>
      <c r="E46" s="1">
        <v>9</v>
      </c>
      <c r="F46" s="1">
        <v>2608</v>
      </c>
      <c r="G46" s="1">
        <v>3</v>
      </c>
      <c r="H46" s="4">
        <v>44181</v>
      </c>
      <c r="I46" s="1">
        <v>0</v>
      </c>
    </row>
    <row r="47" spans="1:9" ht="21" customHeight="1">
      <c r="A47" s="1" t="s">
        <v>46</v>
      </c>
      <c r="B47" s="1">
        <v>3</v>
      </c>
      <c r="C47" s="2">
        <v>0.28660000000000002</v>
      </c>
      <c r="D47" s="3" t="s">
        <v>47</v>
      </c>
      <c r="E47" s="1">
        <v>32</v>
      </c>
      <c r="F47" s="1">
        <v>9880</v>
      </c>
      <c r="G47" s="1">
        <v>3</v>
      </c>
      <c r="H47" s="4">
        <v>44181</v>
      </c>
      <c r="I47" s="1">
        <v>0</v>
      </c>
    </row>
    <row r="48" spans="1:9" ht="21" customHeight="1">
      <c r="A48" s="1" t="s">
        <v>161</v>
      </c>
      <c r="B48" s="1">
        <v>1</v>
      </c>
      <c r="C48" s="2">
        <v>0.1082</v>
      </c>
      <c r="D48" s="3" t="s">
        <v>162</v>
      </c>
      <c r="E48" s="1">
        <v>8</v>
      </c>
      <c r="F48" s="1">
        <v>4981</v>
      </c>
      <c r="G48" s="1">
        <v>3</v>
      </c>
      <c r="H48" s="4">
        <v>44165</v>
      </c>
      <c r="I48" s="1">
        <v>0</v>
      </c>
    </row>
    <row r="49" spans="1:9" ht="23.25" customHeight="1">
      <c r="A49" s="1" t="s">
        <v>129</v>
      </c>
      <c r="B49" s="1">
        <v>2</v>
      </c>
      <c r="C49" s="2">
        <v>0.19550000000000001</v>
      </c>
      <c r="D49" s="3" t="s">
        <v>130</v>
      </c>
      <c r="E49" s="1">
        <v>19</v>
      </c>
      <c r="F49" s="1">
        <v>7019</v>
      </c>
      <c r="G49" s="1">
        <v>3</v>
      </c>
      <c r="H49" s="4">
        <v>44125</v>
      </c>
      <c r="I49" s="1">
        <v>0</v>
      </c>
    </row>
    <row r="50" spans="1:9" ht="21" customHeight="1">
      <c r="A50" s="1" t="s">
        <v>131</v>
      </c>
      <c r="B50" s="1">
        <v>3</v>
      </c>
      <c r="C50" s="2">
        <v>0.2382</v>
      </c>
      <c r="D50" s="3" t="s">
        <v>132</v>
      </c>
      <c r="E50" s="1">
        <v>16</v>
      </c>
      <c r="F50" s="1">
        <v>12697</v>
      </c>
      <c r="G50" s="1">
        <v>2</v>
      </c>
      <c r="H50" s="4">
        <v>45721</v>
      </c>
      <c r="I50" s="1">
        <v>1</v>
      </c>
    </row>
    <row r="51" spans="1:9" ht="21" customHeight="1">
      <c r="A51" s="1" t="s">
        <v>192</v>
      </c>
      <c r="B51" s="1">
        <v>2</v>
      </c>
      <c r="C51" s="2">
        <v>0.43559999999999999</v>
      </c>
      <c r="D51" s="3" t="s">
        <v>193</v>
      </c>
      <c r="E51" s="1">
        <v>7</v>
      </c>
      <c r="F51" s="1">
        <v>1735</v>
      </c>
      <c r="G51" s="1">
        <v>2</v>
      </c>
      <c r="H51" s="4">
        <v>45441</v>
      </c>
      <c r="I51" s="1">
        <v>0</v>
      </c>
    </row>
    <row r="52" spans="1:9" ht="21" customHeight="1">
      <c r="A52" s="1" t="s">
        <v>34</v>
      </c>
      <c r="B52" s="1">
        <v>1</v>
      </c>
      <c r="C52" s="2">
        <v>0.11550000000000001</v>
      </c>
      <c r="D52" s="3" t="s">
        <v>35</v>
      </c>
      <c r="E52" s="1">
        <v>11</v>
      </c>
      <c r="F52" s="1">
        <v>5001</v>
      </c>
      <c r="G52" s="1">
        <v>2</v>
      </c>
      <c r="H52" s="4">
        <v>45371</v>
      </c>
      <c r="I52" s="1">
        <v>0</v>
      </c>
    </row>
    <row r="53" spans="1:9" ht="21" customHeight="1">
      <c r="A53" s="1" t="s">
        <v>133</v>
      </c>
      <c r="B53" s="1">
        <v>1</v>
      </c>
      <c r="C53" s="2">
        <v>0.13600000000000001</v>
      </c>
      <c r="D53" s="3" t="s">
        <v>134</v>
      </c>
      <c r="E53" s="1">
        <v>16</v>
      </c>
      <c r="F53" s="1">
        <v>1891</v>
      </c>
      <c r="G53" s="1">
        <v>2</v>
      </c>
      <c r="H53" s="4">
        <v>45357</v>
      </c>
      <c r="I53" s="1">
        <v>0</v>
      </c>
    </row>
    <row r="54" spans="1:9" ht="21" customHeight="1">
      <c r="A54" s="1" t="s">
        <v>127</v>
      </c>
      <c r="B54" s="1">
        <v>2</v>
      </c>
      <c r="C54" s="2">
        <v>0.30680000000000002</v>
      </c>
      <c r="D54" s="3" t="s">
        <v>128</v>
      </c>
      <c r="E54" s="1">
        <v>7</v>
      </c>
      <c r="F54" s="1">
        <v>2777</v>
      </c>
      <c r="G54" s="1">
        <v>2</v>
      </c>
      <c r="H54" s="4">
        <v>44328</v>
      </c>
      <c r="I54" s="1">
        <v>0</v>
      </c>
    </row>
    <row r="55" spans="1:9" ht="21" customHeight="1">
      <c r="A55" s="1" t="s">
        <v>77</v>
      </c>
      <c r="B55" s="1">
        <v>2</v>
      </c>
      <c r="C55" s="2">
        <v>0.44440000000000002</v>
      </c>
      <c r="D55" s="3" t="s">
        <v>78</v>
      </c>
      <c r="E55" s="1">
        <v>4</v>
      </c>
      <c r="F55" s="1">
        <v>1410</v>
      </c>
      <c r="G55" s="1">
        <v>2</v>
      </c>
      <c r="H55" s="4">
        <v>44293</v>
      </c>
      <c r="I55" s="1">
        <v>0</v>
      </c>
    </row>
    <row r="56" spans="1:9" ht="21" customHeight="1">
      <c r="A56" s="1" t="s">
        <v>48</v>
      </c>
      <c r="B56" s="1">
        <v>2</v>
      </c>
      <c r="C56" s="2">
        <v>0.2281</v>
      </c>
      <c r="D56" s="3" t="s">
        <v>49</v>
      </c>
      <c r="E56" s="1">
        <v>9</v>
      </c>
      <c r="F56" s="1">
        <v>4799</v>
      </c>
      <c r="G56" s="1">
        <v>2</v>
      </c>
      <c r="H56" s="4">
        <v>44277</v>
      </c>
      <c r="I56" s="1">
        <v>0</v>
      </c>
    </row>
    <row r="57" spans="1:9" ht="21" customHeight="1">
      <c r="A57" s="1" t="s">
        <v>99</v>
      </c>
      <c r="B57" s="1">
        <v>1</v>
      </c>
      <c r="C57" s="2">
        <v>0.18260000000000001</v>
      </c>
      <c r="D57" s="3" t="s">
        <v>100</v>
      </c>
      <c r="E57" s="1">
        <v>9</v>
      </c>
      <c r="F57" s="1">
        <v>2865</v>
      </c>
      <c r="G57" s="1">
        <v>2</v>
      </c>
      <c r="H57" s="4">
        <v>44277</v>
      </c>
      <c r="I57" s="1">
        <v>0</v>
      </c>
    </row>
    <row r="58" spans="1:9" ht="21" customHeight="1">
      <c r="A58" s="1" t="s">
        <v>113</v>
      </c>
      <c r="B58" s="1">
        <v>1</v>
      </c>
      <c r="C58" s="2">
        <v>0.26479999999999998</v>
      </c>
      <c r="D58" s="3" t="s">
        <v>114</v>
      </c>
      <c r="E58" s="1">
        <v>3</v>
      </c>
      <c r="F58" s="1">
        <v>1722</v>
      </c>
      <c r="G58" s="1">
        <v>2</v>
      </c>
      <c r="H58" s="4">
        <v>44265</v>
      </c>
      <c r="I58" s="1">
        <v>0</v>
      </c>
    </row>
    <row r="59" spans="1:9" ht="21" customHeight="1">
      <c r="A59" s="1" t="s">
        <v>115</v>
      </c>
      <c r="B59" s="5"/>
      <c r="C59" s="2">
        <v>4.8099999999999997E-2</v>
      </c>
      <c r="D59" s="3" t="s">
        <v>116</v>
      </c>
      <c r="E59" s="1">
        <v>2</v>
      </c>
      <c r="F59" s="1">
        <v>746</v>
      </c>
      <c r="G59" s="1">
        <v>2</v>
      </c>
      <c r="H59" s="4">
        <v>44265</v>
      </c>
      <c r="I59" s="1">
        <v>0</v>
      </c>
    </row>
    <row r="60" spans="1:9" ht="21" customHeight="1">
      <c r="A60" s="1" t="s">
        <v>217</v>
      </c>
      <c r="B60" s="5"/>
      <c r="C60" s="2">
        <v>0.1656</v>
      </c>
      <c r="D60" s="3" t="s">
        <v>218</v>
      </c>
      <c r="E60" s="1">
        <v>2</v>
      </c>
      <c r="F60" s="1">
        <v>2641</v>
      </c>
      <c r="G60" s="1">
        <v>2</v>
      </c>
      <c r="H60" s="4">
        <v>44181</v>
      </c>
      <c r="I60" s="1">
        <v>0</v>
      </c>
    </row>
    <row r="61" spans="1:9" ht="21" customHeight="1">
      <c r="A61" s="1" t="s">
        <v>206</v>
      </c>
      <c r="B61" s="1">
        <v>3</v>
      </c>
      <c r="C61" s="2">
        <v>0.58720000000000006</v>
      </c>
      <c r="D61" s="3" t="s">
        <v>207</v>
      </c>
      <c r="E61" s="1">
        <v>11</v>
      </c>
      <c r="F61" s="1">
        <v>4164</v>
      </c>
      <c r="G61" s="1">
        <v>2</v>
      </c>
      <c r="H61" s="4">
        <v>44165</v>
      </c>
      <c r="I61" s="1">
        <v>1</v>
      </c>
    </row>
    <row r="62" spans="1:9" ht="21" customHeight="1">
      <c r="A62" s="1" t="s">
        <v>95</v>
      </c>
      <c r="B62" s="5"/>
      <c r="C62" s="2">
        <v>0.1731</v>
      </c>
      <c r="D62" s="3" t="s">
        <v>96</v>
      </c>
      <c r="E62" s="1">
        <v>2</v>
      </c>
      <c r="F62" s="1">
        <v>668</v>
      </c>
      <c r="G62" s="1">
        <v>2</v>
      </c>
      <c r="H62" s="4">
        <v>44165</v>
      </c>
      <c r="I62" s="1">
        <v>0</v>
      </c>
    </row>
    <row r="63" spans="1:9" ht="21" customHeight="1">
      <c r="A63" s="1" t="s">
        <v>79</v>
      </c>
      <c r="B63" s="1">
        <v>3</v>
      </c>
      <c r="C63" s="2">
        <v>0.1089</v>
      </c>
      <c r="D63" s="3" t="s">
        <v>80</v>
      </c>
      <c r="E63" s="1">
        <v>34</v>
      </c>
      <c r="F63" s="1">
        <v>5274</v>
      </c>
      <c r="G63" s="1">
        <v>2</v>
      </c>
      <c r="H63" s="4">
        <v>44146</v>
      </c>
      <c r="I63" s="1">
        <v>0</v>
      </c>
    </row>
    <row r="64" spans="1:9" ht="21" customHeight="1">
      <c r="A64" s="1" t="s">
        <v>28</v>
      </c>
      <c r="B64" s="1">
        <v>2</v>
      </c>
      <c r="C64" s="2">
        <v>0.28339999999999999</v>
      </c>
      <c r="D64" s="3" t="s">
        <v>29</v>
      </c>
      <c r="E64" s="1">
        <v>7</v>
      </c>
      <c r="F64" s="1">
        <v>5020</v>
      </c>
      <c r="G64" s="1">
        <v>2</v>
      </c>
      <c r="H64" s="4">
        <v>44125</v>
      </c>
      <c r="I64" s="1">
        <v>0</v>
      </c>
    </row>
    <row r="65" spans="1:9" ht="21" customHeight="1">
      <c r="A65" s="1" t="s">
        <v>198</v>
      </c>
      <c r="B65" s="1">
        <v>2</v>
      </c>
      <c r="C65" s="2">
        <v>0.2087</v>
      </c>
      <c r="D65" s="3" t="s">
        <v>199</v>
      </c>
      <c r="E65" s="1">
        <v>18</v>
      </c>
      <c r="F65" s="1">
        <v>5248</v>
      </c>
      <c r="G65" s="1">
        <v>2</v>
      </c>
      <c r="H65" s="4">
        <v>44125</v>
      </c>
      <c r="I65" s="1">
        <v>0</v>
      </c>
    </row>
    <row r="66" spans="1:9" ht="21" customHeight="1">
      <c r="A66" s="1" t="s">
        <v>145</v>
      </c>
      <c r="B66" s="1">
        <v>3</v>
      </c>
      <c r="C66" s="2">
        <v>8.7599999999999997E-2</v>
      </c>
      <c r="D66" s="3" t="s">
        <v>146</v>
      </c>
      <c r="E66" s="1">
        <v>51</v>
      </c>
      <c r="F66" s="1">
        <v>3341</v>
      </c>
      <c r="G66" s="1">
        <v>2</v>
      </c>
      <c r="H66" s="4">
        <v>44085</v>
      </c>
      <c r="I66" s="1">
        <v>0</v>
      </c>
    </row>
    <row r="67" spans="1:9" ht="21" customHeight="1">
      <c r="A67" s="1" t="s">
        <v>212</v>
      </c>
      <c r="B67" s="1">
        <v>3</v>
      </c>
      <c r="C67" s="2">
        <v>0.378</v>
      </c>
      <c r="D67" s="3" t="s">
        <v>213</v>
      </c>
      <c r="E67" s="1">
        <v>12</v>
      </c>
      <c r="F67" s="1">
        <v>6780</v>
      </c>
      <c r="G67" s="1">
        <v>2</v>
      </c>
      <c r="H67" s="4">
        <v>44078</v>
      </c>
      <c r="I67" s="1">
        <v>1</v>
      </c>
    </row>
    <row r="68" spans="1:9" ht="21" customHeight="1">
      <c r="A68" s="1" t="s">
        <v>200</v>
      </c>
      <c r="B68" s="1">
        <v>3</v>
      </c>
      <c r="C68" s="2">
        <v>0.49759999999999999</v>
      </c>
      <c r="D68" s="3" t="s">
        <v>201</v>
      </c>
      <c r="E68" s="1">
        <v>8</v>
      </c>
      <c r="F68" s="1">
        <v>2125</v>
      </c>
      <c r="G68" s="1">
        <v>2</v>
      </c>
      <c r="H68" s="4">
        <v>44025</v>
      </c>
      <c r="I68" s="1">
        <v>0</v>
      </c>
    </row>
    <row r="69" spans="1:9" ht="21" customHeight="1">
      <c r="A69" s="1" t="s">
        <v>10</v>
      </c>
      <c r="B69" s="1">
        <v>3</v>
      </c>
      <c r="C69" s="2">
        <v>0.1885</v>
      </c>
      <c r="D69" s="3" t="s">
        <v>11</v>
      </c>
      <c r="E69" s="1">
        <v>18</v>
      </c>
      <c r="F69" s="1">
        <v>15437</v>
      </c>
      <c r="G69" s="1">
        <v>2</v>
      </c>
      <c r="H69" s="4">
        <v>44025</v>
      </c>
      <c r="I69" s="1">
        <v>1</v>
      </c>
    </row>
    <row r="70" spans="1:9" ht="21" customHeight="1">
      <c r="A70" s="1" t="s">
        <v>149</v>
      </c>
      <c r="B70" s="1">
        <v>3</v>
      </c>
      <c r="C70" s="2">
        <v>0.16739999999999999</v>
      </c>
      <c r="D70" s="3" t="s">
        <v>150</v>
      </c>
      <c r="E70" s="1">
        <v>33</v>
      </c>
      <c r="F70" s="1">
        <v>3667</v>
      </c>
      <c r="G70" s="1">
        <v>2</v>
      </c>
      <c r="H70" s="4">
        <v>44025</v>
      </c>
      <c r="I70" s="1">
        <v>0</v>
      </c>
    </row>
    <row r="71" spans="1:9" ht="21" customHeight="1">
      <c r="A71" s="1" t="s">
        <v>69</v>
      </c>
      <c r="B71" s="1">
        <v>1</v>
      </c>
      <c r="C71" s="2">
        <v>0.1885</v>
      </c>
      <c r="D71" s="3" t="s">
        <v>70</v>
      </c>
      <c r="E71" s="1">
        <v>13</v>
      </c>
      <c r="F71" s="1">
        <v>1999</v>
      </c>
      <c r="G71" s="1">
        <v>2</v>
      </c>
      <c r="H71" s="4">
        <v>44013</v>
      </c>
      <c r="I71" s="1">
        <v>0</v>
      </c>
    </row>
    <row r="72" spans="1:9" ht="21" customHeight="1">
      <c r="A72" s="1" t="s">
        <v>16</v>
      </c>
      <c r="B72" s="1">
        <v>3</v>
      </c>
      <c r="C72" s="2">
        <v>0.3039</v>
      </c>
      <c r="D72" s="3" t="s">
        <v>17</v>
      </c>
      <c r="E72" s="1">
        <v>13</v>
      </c>
      <c r="F72" s="1">
        <v>8187</v>
      </c>
      <c r="G72" s="1">
        <v>2</v>
      </c>
      <c r="H72" s="4">
        <v>43995</v>
      </c>
      <c r="I72" s="1">
        <v>0</v>
      </c>
    </row>
    <row r="73" spans="1:9" ht="21" customHeight="1">
      <c r="A73" s="1" t="s">
        <v>155</v>
      </c>
      <c r="B73" s="1">
        <v>3</v>
      </c>
      <c r="C73" s="2">
        <v>0.2084</v>
      </c>
      <c r="D73" s="3" t="s">
        <v>156</v>
      </c>
      <c r="E73" s="1">
        <v>33</v>
      </c>
      <c r="F73" s="1">
        <v>3210</v>
      </c>
      <c r="G73" s="1">
        <v>2</v>
      </c>
      <c r="H73" s="4">
        <v>43995</v>
      </c>
      <c r="I73" s="1">
        <v>0</v>
      </c>
    </row>
    <row r="74" spans="1:9" ht="21" customHeight="1">
      <c r="A74" s="1" t="s">
        <v>202</v>
      </c>
      <c r="B74" s="1">
        <v>2</v>
      </c>
      <c r="C74" s="2">
        <v>0.19570000000000001</v>
      </c>
      <c r="D74" s="3" t="s">
        <v>203</v>
      </c>
      <c r="E74" s="1">
        <v>25</v>
      </c>
      <c r="F74" s="1">
        <v>2765</v>
      </c>
      <c r="G74" s="1">
        <v>2</v>
      </c>
      <c r="H74" s="4">
        <v>43995</v>
      </c>
      <c r="I74" s="1">
        <v>0</v>
      </c>
    </row>
    <row r="75" spans="1:9" ht="21" customHeight="1">
      <c r="A75" s="1" t="s">
        <v>89</v>
      </c>
      <c r="B75" s="1">
        <v>2</v>
      </c>
      <c r="C75" s="2">
        <v>0.318</v>
      </c>
      <c r="D75" s="3" t="s">
        <v>90</v>
      </c>
      <c r="E75" s="1">
        <v>9</v>
      </c>
      <c r="F75" s="1">
        <v>3184</v>
      </c>
      <c r="G75" s="1">
        <v>2</v>
      </c>
      <c r="H75" s="4">
        <v>43985</v>
      </c>
      <c r="I75" s="1">
        <v>0</v>
      </c>
    </row>
    <row r="76" spans="1:9" ht="21" customHeight="1">
      <c r="A76" s="1" t="s">
        <v>167</v>
      </c>
      <c r="B76" s="1">
        <v>2</v>
      </c>
      <c r="C76" s="2">
        <v>0.26679999999999998</v>
      </c>
      <c r="D76" s="3" t="s">
        <v>168</v>
      </c>
      <c r="E76" s="1">
        <v>7</v>
      </c>
      <c r="F76" s="1">
        <v>2451</v>
      </c>
      <c r="G76" s="1">
        <v>2</v>
      </c>
      <c r="H76" s="4">
        <v>43985</v>
      </c>
      <c r="I76" s="1">
        <v>0</v>
      </c>
    </row>
    <row r="77" spans="1:9" ht="21" customHeight="1">
      <c r="A77" s="1" t="s">
        <v>57</v>
      </c>
      <c r="B77" s="1">
        <v>2</v>
      </c>
      <c r="C77" s="2">
        <v>0.25109999999999999</v>
      </c>
      <c r="D77" s="3" t="s">
        <v>58</v>
      </c>
      <c r="E77" s="1">
        <v>12</v>
      </c>
      <c r="F77" s="1">
        <v>2555</v>
      </c>
      <c r="G77" s="1">
        <v>2</v>
      </c>
      <c r="H77" s="4">
        <v>43971</v>
      </c>
      <c r="I77" s="1">
        <v>0</v>
      </c>
    </row>
    <row r="78" spans="1:9" ht="21" customHeight="1">
      <c r="A78" s="1" t="s">
        <v>139</v>
      </c>
      <c r="B78" s="5"/>
      <c r="C78" s="2">
        <v>0.11840000000000001</v>
      </c>
      <c r="D78" s="3" t="s">
        <v>140</v>
      </c>
      <c r="E78" s="1">
        <v>4</v>
      </c>
      <c r="F78" s="1">
        <v>644</v>
      </c>
      <c r="G78" s="1">
        <v>2</v>
      </c>
      <c r="H78" s="4">
        <v>43971</v>
      </c>
      <c r="I78" s="1">
        <v>0</v>
      </c>
    </row>
    <row r="79" spans="1:9" ht="21" customHeight="1">
      <c r="A79" s="1" t="s">
        <v>175</v>
      </c>
      <c r="B79" s="1">
        <v>3</v>
      </c>
      <c r="C79" s="2">
        <v>0.1996</v>
      </c>
      <c r="D79" s="3" t="s">
        <v>176</v>
      </c>
      <c r="E79" s="1">
        <v>28</v>
      </c>
      <c r="F79" s="1">
        <v>2440</v>
      </c>
      <c r="G79" s="1">
        <v>2</v>
      </c>
      <c r="H79" s="4">
        <v>43936</v>
      </c>
      <c r="I79" s="1">
        <v>0</v>
      </c>
    </row>
    <row r="80" spans="1:9" ht="16.5" customHeight="1">
      <c r="A80" s="1" t="s">
        <v>44</v>
      </c>
      <c r="B80" s="5"/>
      <c r="C80" s="2">
        <v>8.3000000000000004E-2</v>
      </c>
      <c r="D80" s="3" t="s">
        <v>45</v>
      </c>
      <c r="E80" s="1">
        <v>3</v>
      </c>
      <c r="F80" s="1">
        <v>1672</v>
      </c>
      <c r="G80" s="1">
        <v>2</v>
      </c>
      <c r="H80" s="4">
        <v>43829</v>
      </c>
      <c r="I80" s="1">
        <v>0</v>
      </c>
    </row>
    <row r="81" spans="1:9" ht="21" customHeight="1">
      <c r="A81" s="1" t="s">
        <v>63</v>
      </c>
      <c r="B81" s="1">
        <v>3</v>
      </c>
      <c r="C81" s="2">
        <v>0.56879999999999997</v>
      </c>
      <c r="D81" s="3" t="s">
        <v>64</v>
      </c>
      <c r="E81" s="1">
        <v>15</v>
      </c>
      <c r="F81" s="1">
        <v>3501</v>
      </c>
      <c r="G81" s="1">
        <v>2</v>
      </c>
      <c r="H81" s="4">
        <v>43817</v>
      </c>
      <c r="I81" s="1">
        <v>1</v>
      </c>
    </row>
    <row r="82" spans="1:9" ht="16.5" customHeight="1">
      <c r="A82" s="1" t="s">
        <v>61</v>
      </c>
      <c r="B82" s="1">
        <v>2</v>
      </c>
      <c r="C82" s="2">
        <v>0.25009999999999999</v>
      </c>
      <c r="D82" s="3" t="s">
        <v>62</v>
      </c>
      <c r="E82" s="1">
        <v>11</v>
      </c>
      <c r="F82" s="1">
        <v>6359</v>
      </c>
      <c r="G82" s="1">
        <v>2</v>
      </c>
      <c r="H82" s="4">
        <v>43754</v>
      </c>
      <c r="I82" s="1">
        <v>0</v>
      </c>
    </row>
    <row r="83" spans="1:9" ht="21" customHeight="1">
      <c r="A83" s="1" t="s">
        <v>20</v>
      </c>
      <c r="B83" s="1">
        <v>3</v>
      </c>
      <c r="C83" s="2">
        <v>0.3014</v>
      </c>
      <c r="D83" s="3" t="s">
        <v>21</v>
      </c>
      <c r="E83" s="1">
        <v>21</v>
      </c>
      <c r="F83" s="1">
        <v>7750</v>
      </c>
      <c r="G83" s="1">
        <v>2</v>
      </c>
      <c r="H83" s="4">
        <v>43584</v>
      </c>
      <c r="I83" s="1">
        <v>0</v>
      </c>
    </row>
    <row r="84" spans="1:9" ht="16.5" customHeight="1">
      <c r="A84" s="1" t="s">
        <v>228</v>
      </c>
      <c r="B84" s="1"/>
      <c r="C84" s="2"/>
      <c r="D84" s="3"/>
      <c r="E84" s="1"/>
      <c r="F84" s="1"/>
      <c r="G84" s="1">
        <v>1</v>
      </c>
      <c r="H84" s="4">
        <v>45721</v>
      </c>
      <c r="I84" s="1">
        <v>0</v>
      </c>
    </row>
    <row r="85" spans="1:9" ht="21" customHeight="1">
      <c r="A85" s="1" t="s">
        <v>233</v>
      </c>
      <c r="B85" s="1"/>
      <c r="C85" s="2"/>
      <c r="D85" s="3"/>
      <c r="E85" s="1"/>
      <c r="F85" s="1"/>
      <c r="G85" s="1">
        <v>1</v>
      </c>
      <c r="H85" s="4">
        <v>45441</v>
      </c>
      <c r="I85" s="1">
        <v>0</v>
      </c>
    </row>
    <row r="86" spans="1:9" ht="16.5" customHeight="1">
      <c r="A86" s="1" t="s">
        <v>234</v>
      </c>
      <c r="B86" s="1"/>
      <c r="C86" s="2"/>
      <c r="D86" s="3"/>
      <c r="E86" s="1"/>
      <c r="F86" s="1"/>
      <c r="G86" s="1">
        <v>1</v>
      </c>
      <c r="H86" s="4">
        <v>45441</v>
      </c>
      <c r="I86" s="1">
        <v>0</v>
      </c>
    </row>
    <row r="87" spans="1:9" ht="21" customHeight="1">
      <c r="A87" s="1" t="s">
        <v>232</v>
      </c>
      <c r="B87" s="1"/>
      <c r="C87" s="2"/>
      <c r="D87" s="3"/>
      <c r="E87" s="1"/>
      <c r="F87" s="1"/>
      <c r="G87" s="1">
        <v>1</v>
      </c>
      <c r="H87" s="4">
        <v>45371</v>
      </c>
      <c r="I87" s="1">
        <v>0</v>
      </c>
    </row>
    <row r="88" spans="1:9" ht="16.5" customHeight="1">
      <c r="A88" s="1" t="s">
        <v>231</v>
      </c>
      <c r="B88" s="1"/>
      <c r="C88" s="2"/>
      <c r="D88" s="3"/>
      <c r="E88" s="1"/>
      <c r="F88" s="1"/>
      <c r="G88" s="1">
        <v>1</v>
      </c>
      <c r="H88" s="4">
        <v>45364</v>
      </c>
      <c r="I88" s="1">
        <v>0</v>
      </c>
    </row>
    <row r="89" spans="1:9" ht="21" customHeight="1">
      <c r="A89" s="1" t="s">
        <v>230</v>
      </c>
      <c r="B89" s="1"/>
      <c r="C89" s="2"/>
      <c r="D89" s="3"/>
      <c r="E89" s="1"/>
      <c r="F89" s="1"/>
      <c r="G89" s="1">
        <v>1</v>
      </c>
      <c r="H89" s="4">
        <v>45217</v>
      </c>
      <c r="I89" s="1">
        <v>0</v>
      </c>
    </row>
    <row r="90" spans="1:9" ht="16.5" customHeight="1">
      <c r="A90" s="1" t="s">
        <v>229</v>
      </c>
      <c r="B90" s="1"/>
      <c r="C90" s="2"/>
      <c r="D90" s="3"/>
      <c r="E90" s="1"/>
      <c r="F90" s="1"/>
      <c r="G90" s="1">
        <v>1</v>
      </c>
      <c r="H90" s="4">
        <v>45203</v>
      </c>
      <c r="I90" s="1">
        <v>0</v>
      </c>
    </row>
    <row r="91" spans="1:9" ht="21" customHeight="1">
      <c r="A91" s="1" t="s">
        <v>227</v>
      </c>
      <c r="B91" s="1"/>
      <c r="C91" s="2"/>
      <c r="D91" s="3"/>
      <c r="E91" s="1"/>
      <c r="F91" s="1"/>
      <c r="G91" s="1">
        <v>1</v>
      </c>
      <c r="H91" s="4">
        <v>45203</v>
      </c>
      <c r="I91" s="1">
        <v>0</v>
      </c>
    </row>
    <row r="92" spans="1:9" ht="16.5" customHeight="1">
      <c r="A92" s="1" t="s">
        <v>184</v>
      </c>
      <c r="B92" s="1">
        <v>2</v>
      </c>
      <c r="C92" s="2">
        <v>0.311</v>
      </c>
      <c r="D92" s="3" t="s">
        <v>185</v>
      </c>
      <c r="E92" s="1">
        <v>11</v>
      </c>
      <c r="F92" s="1">
        <v>5026</v>
      </c>
      <c r="G92" s="1">
        <v>1</v>
      </c>
      <c r="H92" s="4">
        <v>44328</v>
      </c>
      <c r="I92" s="1">
        <v>0</v>
      </c>
    </row>
    <row r="93" spans="1:9" ht="21" customHeight="1">
      <c r="A93" s="1" t="s">
        <v>22</v>
      </c>
      <c r="B93" s="1">
        <v>2</v>
      </c>
      <c r="C93" s="2">
        <v>0.37569999999999998</v>
      </c>
      <c r="D93" s="3" t="s">
        <v>23</v>
      </c>
      <c r="E93" s="1">
        <v>3</v>
      </c>
      <c r="F93" s="1">
        <v>3395</v>
      </c>
      <c r="G93" s="1">
        <v>1</v>
      </c>
      <c r="H93" s="4">
        <v>44214</v>
      </c>
      <c r="I93" s="1">
        <v>0</v>
      </c>
    </row>
    <row r="94" spans="1:9" ht="16.5" customHeight="1">
      <c r="A94" s="1" t="s">
        <v>36</v>
      </c>
      <c r="B94" s="1">
        <v>2</v>
      </c>
      <c r="C94" s="2">
        <v>0.25669999999999998</v>
      </c>
      <c r="D94" s="3" t="s">
        <v>37</v>
      </c>
      <c r="E94" s="1">
        <v>10</v>
      </c>
      <c r="F94" s="1">
        <v>2806</v>
      </c>
      <c r="G94" s="1">
        <v>1</v>
      </c>
      <c r="H94" s="4">
        <v>44181</v>
      </c>
      <c r="I94" s="1">
        <v>0</v>
      </c>
    </row>
    <row r="95" spans="1:9" ht="21" customHeight="1">
      <c r="A95" s="1" t="s">
        <v>50</v>
      </c>
      <c r="B95" s="1">
        <v>2</v>
      </c>
      <c r="C95" s="2">
        <v>0.1258</v>
      </c>
      <c r="D95" s="3" t="s">
        <v>51</v>
      </c>
      <c r="E95" s="1">
        <v>27</v>
      </c>
      <c r="F95" s="1">
        <v>5190</v>
      </c>
      <c r="G95" s="1">
        <v>1</v>
      </c>
      <c r="H95" s="4">
        <v>44146</v>
      </c>
      <c r="I95" s="1">
        <v>0</v>
      </c>
    </row>
    <row r="96" spans="1:9" ht="16.5" customHeight="1">
      <c r="A96" s="1" t="s">
        <v>177</v>
      </c>
      <c r="B96" s="1">
        <v>2</v>
      </c>
      <c r="C96" s="2">
        <v>0.14399999999999999</v>
      </c>
      <c r="D96" s="3" t="s">
        <v>178</v>
      </c>
      <c r="E96" s="1">
        <v>18</v>
      </c>
      <c r="F96" s="1">
        <v>4334</v>
      </c>
      <c r="G96" s="1">
        <v>1</v>
      </c>
      <c r="H96" s="4">
        <v>44111</v>
      </c>
      <c r="I96" s="1">
        <v>0</v>
      </c>
    </row>
    <row r="97" spans="1:9" ht="21" customHeight="1">
      <c r="A97" s="1" t="s">
        <v>40</v>
      </c>
      <c r="B97" s="1">
        <v>2</v>
      </c>
      <c r="C97" s="2">
        <v>0.1648</v>
      </c>
      <c r="D97" s="3" t="s">
        <v>41</v>
      </c>
      <c r="E97" s="1">
        <v>6</v>
      </c>
      <c r="F97" s="1">
        <v>8554</v>
      </c>
      <c r="G97" s="1">
        <v>1</v>
      </c>
      <c r="H97" s="4">
        <v>44032</v>
      </c>
      <c r="I97" s="1">
        <v>0</v>
      </c>
    </row>
    <row r="98" spans="1:9" ht="16.5" customHeight="1">
      <c r="A98" s="1" t="s">
        <v>135</v>
      </c>
      <c r="B98" s="1">
        <v>2</v>
      </c>
      <c r="C98" s="2">
        <v>0.13159999999999999</v>
      </c>
      <c r="D98" s="3" t="s">
        <v>136</v>
      </c>
      <c r="E98" s="1">
        <v>12</v>
      </c>
      <c r="F98" s="1">
        <v>9119</v>
      </c>
      <c r="G98" s="1">
        <v>1</v>
      </c>
      <c r="H98" s="4">
        <v>43999</v>
      </c>
      <c r="I98" s="1">
        <v>0</v>
      </c>
    </row>
    <row r="99" spans="1:9" ht="21" customHeight="1">
      <c r="A99" s="1" t="s">
        <v>59</v>
      </c>
      <c r="B99" s="1">
        <v>2</v>
      </c>
      <c r="C99" s="2">
        <v>0.28050000000000003</v>
      </c>
      <c r="D99" s="3" t="s">
        <v>60</v>
      </c>
      <c r="E99" s="1">
        <v>8</v>
      </c>
      <c r="F99" s="1">
        <v>3451</v>
      </c>
      <c r="G99" s="1">
        <v>1</v>
      </c>
      <c r="H99" s="4">
        <v>43985</v>
      </c>
      <c r="I99" s="1">
        <v>0</v>
      </c>
    </row>
    <row r="100" spans="1:9" ht="16.5" customHeight="1">
      <c r="A100" s="1" t="s">
        <v>194</v>
      </c>
      <c r="B100" s="1">
        <v>2</v>
      </c>
      <c r="C100" s="2">
        <v>0.20169999999999999</v>
      </c>
      <c r="D100" s="3" t="s">
        <v>195</v>
      </c>
      <c r="E100" s="1">
        <v>12</v>
      </c>
      <c r="F100" s="1">
        <v>4256</v>
      </c>
      <c r="G100" s="1">
        <v>1</v>
      </c>
      <c r="H100" s="4">
        <v>43971</v>
      </c>
      <c r="I100" s="1">
        <v>0</v>
      </c>
    </row>
    <row r="101" spans="1:9" ht="21" customHeight="1">
      <c r="A101" s="1" t="s">
        <v>32</v>
      </c>
      <c r="B101" s="1">
        <v>2</v>
      </c>
      <c r="C101" s="2">
        <v>0.2107</v>
      </c>
      <c r="D101" s="3" t="s">
        <v>33</v>
      </c>
      <c r="E101" s="1">
        <v>13</v>
      </c>
      <c r="F101" s="1">
        <v>3358</v>
      </c>
      <c r="G101" s="1">
        <v>1</v>
      </c>
      <c r="H101" s="4">
        <v>43957</v>
      </c>
      <c r="I101" s="1">
        <v>0</v>
      </c>
    </row>
    <row r="102" spans="1:9" ht="16.5" customHeight="1">
      <c r="A102" s="1" t="s">
        <v>14</v>
      </c>
      <c r="B102" s="1">
        <v>3</v>
      </c>
      <c r="C102" s="2">
        <v>0.15390000000000001</v>
      </c>
      <c r="D102" s="3" t="s">
        <v>15</v>
      </c>
      <c r="E102" s="1">
        <v>21</v>
      </c>
      <c r="F102" s="1">
        <v>10939</v>
      </c>
      <c r="G102" s="1">
        <v>1</v>
      </c>
      <c r="H102" s="4">
        <v>43957</v>
      </c>
      <c r="I102" s="1">
        <v>0</v>
      </c>
    </row>
    <row r="103" spans="1:9" ht="21" customHeight="1">
      <c r="A103" s="1" t="s">
        <v>159</v>
      </c>
      <c r="B103" s="1">
        <v>1</v>
      </c>
      <c r="C103" s="2">
        <v>0.11550000000000001</v>
      </c>
      <c r="D103" s="3" t="s">
        <v>160</v>
      </c>
      <c r="E103" s="1">
        <v>6</v>
      </c>
      <c r="F103" s="1">
        <v>3954</v>
      </c>
      <c r="G103" s="1">
        <v>1</v>
      </c>
      <c r="H103" s="4">
        <v>43936</v>
      </c>
      <c r="I103" s="1">
        <v>0</v>
      </c>
    </row>
    <row r="104" spans="1:9" ht="16.5" customHeight="1">
      <c r="A104" s="1" t="s">
        <v>12</v>
      </c>
      <c r="B104" s="1">
        <v>1</v>
      </c>
      <c r="C104" s="2">
        <v>0.10539999999999999</v>
      </c>
      <c r="D104" s="3" t="s">
        <v>13</v>
      </c>
      <c r="E104" s="1">
        <v>6</v>
      </c>
      <c r="F104" s="1">
        <v>7591</v>
      </c>
      <c r="G104" s="1">
        <v>1</v>
      </c>
      <c r="H104" s="4">
        <v>43936</v>
      </c>
      <c r="I104" s="1">
        <v>1</v>
      </c>
    </row>
    <row r="105" spans="1:9" ht="21" customHeight="1">
      <c r="A105" s="1" t="s">
        <v>109</v>
      </c>
      <c r="B105" s="1">
        <v>2</v>
      </c>
      <c r="C105" s="6">
        <v>0.4</v>
      </c>
      <c r="D105" s="3" t="s">
        <v>110</v>
      </c>
      <c r="E105" s="1">
        <v>2</v>
      </c>
      <c r="F105" s="1">
        <v>599</v>
      </c>
      <c r="G105" s="1">
        <v>1</v>
      </c>
      <c r="H105" s="4">
        <v>43829</v>
      </c>
      <c r="I105" s="1">
        <v>0</v>
      </c>
    </row>
    <row r="106" spans="1:9" ht="16.5" customHeight="1">
      <c r="A106" s="1" t="s">
        <v>26</v>
      </c>
      <c r="B106" s="1">
        <v>1</v>
      </c>
      <c r="C106" s="2">
        <v>0.14749999999999999</v>
      </c>
      <c r="D106" s="3" t="s">
        <v>27</v>
      </c>
      <c r="E106" s="1">
        <v>11</v>
      </c>
      <c r="F106" s="1">
        <v>4332</v>
      </c>
      <c r="G106" s="1">
        <v>1</v>
      </c>
      <c r="H106" s="4">
        <v>43803</v>
      </c>
      <c r="I106" s="1">
        <v>0</v>
      </c>
    </row>
    <row r="107" spans="1:9" ht="21" customHeight="1">
      <c r="A107" s="1" t="s">
        <v>30</v>
      </c>
      <c r="B107" s="5"/>
      <c r="C107" s="6">
        <v>0</v>
      </c>
      <c r="D107" s="3" t="s">
        <v>31</v>
      </c>
      <c r="E107" s="1">
        <v>3</v>
      </c>
      <c r="F107" s="1">
        <v>3071</v>
      </c>
      <c r="G107" s="1">
        <v>1</v>
      </c>
      <c r="H107" s="4">
        <v>43740</v>
      </c>
      <c r="I107" s="1">
        <v>0</v>
      </c>
    </row>
    <row r="108" spans="1:9" ht="16.5" customHeight="1">
      <c r="A108" s="1" t="s">
        <v>208</v>
      </c>
      <c r="B108" s="1">
        <v>2</v>
      </c>
      <c r="C108" s="2">
        <v>0.23960000000000001</v>
      </c>
      <c r="D108" s="3" t="s">
        <v>209</v>
      </c>
      <c r="E108" s="1">
        <v>12</v>
      </c>
      <c r="F108" s="1">
        <v>6889</v>
      </c>
      <c r="G108" s="1">
        <v>1</v>
      </c>
      <c r="H108" s="4">
        <v>43668</v>
      </c>
      <c r="I108" s="1">
        <v>0</v>
      </c>
    </row>
    <row r="109" spans="1:9" ht="16.5" customHeight="1">
      <c r="A109" s="1" t="s">
        <v>119</v>
      </c>
      <c r="B109" s="5"/>
      <c r="C109" s="6">
        <v>0</v>
      </c>
      <c r="D109" s="3" t="s">
        <v>120</v>
      </c>
      <c r="E109" s="1">
        <v>2</v>
      </c>
      <c r="F109" s="1">
        <v>205</v>
      </c>
      <c r="G109" s="1">
        <v>1</v>
      </c>
      <c r="H109" s="4">
        <v>43668</v>
      </c>
      <c r="I109" s="1">
        <v>0</v>
      </c>
    </row>
    <row r="110" spans="1:9" ht="16.5" customHeight="1">
      <c r="A110" s="1" t="s">
        <v>137</v>
      </c>
      <c r="B110" s="1">
        <v>2</v>
      </c>
      <c r="C110" s="2">
        <v>0.19539999999999999</v>
      </c>
      <c r="D110" s="3" t="s">
        <v>138</v>
      </c>
      <c r="E110" s="1">
        <v>22</v>
      </c>
      <c r="F110" s="1">
        <v>2994</v>
      </c>
      <c r="G110" s="1">
        <v>1</v>
      </c>
      <c r="H110" s="4">
        <v>43661</v>
      </c>
      <c r="I110" s="1">
        <v>0</v>
      </c>
    </row>
    <row r="111" spans="1:9" ht="16.5" customHeight="1">
      <c r="A111" s="1" t="s">
        <v>143</v>
      </c>
      <c r="B111" s="1">
        <v>2</v>
      </c>
      <c r="C111" s="2">
        <v>0.42859999999999998</v>
      </c>
      <c r="D111" s="3" t="s">
        <v>144</v>
      </c>
      <c r="E111" s="1">
        <v>1</v>
      </c>
      <c r="F111" s="1">
        <v>921</v>
      </c>
      <c r="G111" s="1">
        <v>1</v>
      </c>
      <c r="H111" s="4">
        <v>43626</v>
      </c>
      <c r="I111" s="1">
        <v>0</v>
      </c>
    </row>
    <row r="112" spans="1:9" ht="16.5" customHeight="1">
      <c r="A112" s="1" t="s">
        <v>65</v>
      </c>
      <c r="B112" s="1">
        <v>2</v>
      </c>
      <c r="C112" s="2">
        <v>0.1807</v>
      </c>
      <c r="D112" s="3" t="s">
        <v>66</v>
      </c>
      <c r="E112" s="1">
        <v>17</v>
      </c>
      <c r="F112" s="1">
        <v>4286</v>
      </c>
      <c r="G112" s="1">
        <v>1</v>
      </c>
      <c r="H112" s="4">
        <v>43614</v>
      </c>
      <c r="I112" s="1">
        <v>0</v>
      </c>
    </row>
    <row r="113" spans="1:9" ht="16.5" customHeight="1">
      <c r="A113" s="1" t="s">
        <v>117</v>
      </c>
      <c r="B113" s="1">
        <v>1</v>
      </c>
      <c r="C113" s="2">
        <v>0.34379999999999999</v>
      </c>
      <c r="D113" s="3" t="s">
        <v>118</v>
      </c>
      <c r="E113" s="1">
        <v>1</v>
      </c>
      <c r="F113" s="1">
        <v>444</v>
      </c>
      <c r="G113" s="1">
        <v>1</v>
      </c>
      <c r="H113" s="4">
        <v>43544</v>
      </c>
      <c r="I113" s="1">
        <v>0</v>
      </c>
    </row>
    <row r="114" spans="1:9" ht="16.5" customHeight="1">
      <c r="A114" s="1" t="s">
        <v>52</v>
      </c>
      <c r="B114" s="5"/>
      <c r="C114" s="2">
        <v>0.1198</v>
      </c>
      <c r="D114" s="3" t="s">
        <v>53</v>
      </c>
      <c r="E114" s="1">
        <v>5</v>
      </c>
      <c r="F114" s="1">
        <v>2452</v>
      </c>
      <c r="G114" s="1">
        <v>1</v>
      </c>
      <c r="H114" s="4">
        <v>43544</v>
      </c>
      <c r="I114" s="1">
        <v>0</v>
      </c>
    </row>
    <row r="115" spans="1:9" ht="16.5" customHeight="1">
      <c r="A115" s="1" t="s">
        <v>103</v>
      </c>
      <c r="B115" s="1">
        <v>1</v>
      </c>
      <c r="C115" s="2">
        <v>0.26850000000000002</v>
      </c>
      <c r="D115" s="3" t="s">
        <v>104</v>
      </c>
      <c r="E115" s="1">
        <v>3</v>
      </c>
      <c r="F115" s="1">
        <v>1362</v>
      </c>
      <c r="G115" s="1">
        <v>1</v>
      </c>
      <c r="H115" s="4">
        <v>43528</v>
      </c>
      <c r="I115" s="1">
        <v>0</v>
      </c>
    </row>
    <row r="116" spans="1:9" ht="16.5" customHeight="1">
      <c r="A116" s="1" t="s">
        <v>18</v>
      </c>
      <c r="B116" s="1">
        <v>2</v>
      </c>
      <c r="C116" s="2">
        <v>0.17030000000000001</v>
      </c>
      <c r="D116" s="3" t="s">
        <v>19</v>
      </c>
      <c r="E116" s="1">
        <v>11</v>
      </c>
      <c r="F116" s="1">
        <v>11384</v>
      </c>
      <c r="G116" s="1">
        <v>1</v>
      </c>
      <c r="H116" s="4">
        <v>43528</v>
      </c>
      <c r="I116" s="1">
        <v>0</v>
      </c>
    </row>
    <row r="117" spans="1:9" ht="16.5" customHeight="1">
      <c r="A117" s="1" t="s">
        <v>225</v>
      </c>
      <c r="B117" s="1"/>
      <c r="C117" s="2"/>
      <c r="D117" s="3"/>
      <c r="E117" s="1"/>
      <c r="F117" s="1"/>
      <c r="G117" s="1">
        <v>1</v>
      </c>
      <c r="H117" s="4">
        <v>40534</v>
      </c>
      <c r="I117" s="1">
        <v>0</v>
      </c>
    </row>
    <row r="118" spans="1:9" ht="16.5" customHeight="1">
      <c r="A118" s="1" t="s">
        <v>224</v>
      </c>
      <c r="B118" s="1"/>
      <c r="C118" s="2"/>
      <c r="D118" s="3"/>
      <c r="E118" s="1"/>
      <c r="F118" s="1"/>
      <c r="G118" s="1">
        <v>1</v>
      </c>
      <c r="H118" s="4">
        <v>40534</v>
      </c>
      <c r="I118" s="1">
        <v>0</v>
      </c>
    </row>
    <row r="119" spans="1:9" ht="16.5" customHeight="1">
      <c r="A119" s="1" t="s">
        <v>226</v>
      </c>
      <c r="B119" s="1"/>
      <c r="C119" s="2"/>
      <c r="D119" s="3"/>
      <c r="E119" s="1"/>
      <c r="F119" s="1"/>
      <c r="G119" s="1">
        <v>1</v>
      </c>
      <c r="H119" s="4">
        <v>40534</v>
      </c>
      <c r="I119" s="1">
        <v>0</v>
      </c>
    </row>
    <row r="120" spans="1:9" ht="16.5" customHeight="1">
      <c r="A120" s="1"/>
      <c r="B120" s="1"/>
      <c r="C120" s="2"/>
      <c r="D120" s="3"/>
      <c r="E120" s="1"/>
      <c r="F120" s="1"/>
      <c r="G120" s="1"/>
      <c r="H120" s="4"/>
      <c r="I120" s="1"/>
    </row>
    <row r="121" spans="1:9" ht="16.5" customHeight="1"/>
    <row r="122" spans="1:9" ht="16.5" customHeight="1"/>
    <row r="123" spans="1:9" ht="16.5" customHeight="1"/>
    <row r="124" spans="1:9" ht="16.5" customHeight="1"/>
    <row r="125" spans="1:9" ht="16.5" customHeight="1"/>
    <row r="126" spans="1:9" ht="16.5" customHeight="1"/>
    <row r="127" spans="1:9" ht="16.5" customHeight="1"/>
    <row r="128" spans="1:9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</sheetData>
  <autoFilter ref="A1:I108" xr:uid="{DB34C744-4366-43EF-B90C-A462B6A9762F}">
    <sortState xmlns:xlrd2="http://schemas.microsoft.com/office/spreadsheetml/2017/richdata2" ref="A2:I119">
      <sortCondition descending="1" ref="G1:G108"/>
    </sortState>
  </autoFilter>
  <phoneticPr fontId="1" type="noConversion"/>
  <conditionalFormatting sqref="I1:I1048576">
    <cfRule type="colorScale" priority="1">
      <colorScale>
        <cfvo type="min"/>
        <cfvo type="max"/>
        <color theme="9" tint="0.79998168889431442"/>
        <color theme="6" tint="0.39997558519241921"/>
      </colorScale>
    </cfRule>
    <cfRule type="containsText" dxfId="0" priority="2" operator="containsText" text="V">
      <formula>NOT(ISERROR(SEARCH("V",I1)))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Alpha Alpha</dc:creator>
  <cp:lastModifiedBy>Alpha Alpha</cp:lastModifiedBy>
  <dcterms:created xsi:type="dcterms:W3CDTF">2025-10-05T15:43:35Z</dcterms:created>
  <dcterms:modified xsi:type="dcterms:W3CDTF">2025-11-05T04:02:52Z</dcterms:modified>
</cp:coreProperties>
</file>