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sou\Desktop\cpp\gpe\"/>
    </mc:Choice>
  </mc:AlternateContent>
  <xr:revisionPtr revIDLastSave="0" documentId="13_ncr:1_{FA47AE52-A37B-4FDF-BB49-BB8A6FBF0CD5}" xr6:coauthVersionLast="47" xr6:coauthVersionMax="47" xr10:uidLastSave="{00000000-0000-0000-0000-000000000000}"/>
  <bookViews>
    <workbookView xWindow="18735" yWindow="8415" windowWidth="17475" windowHeight="11250" xr2:uid="{21DD07EA-1B5E-43B6-9AD5-97FF9BC94BD3}"/>
  </bookViews>
  <sheets>
    <sheet name="工作表1" sheetId="1" r:id="rId1"/>
  </sheets>
  <definedNames>
    <definedName name="_xlnm._FilterDatabase" localSheetId="0" hidden="1">工作表1!$A$1:$I$216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  <c r="L1" i="1"/>
</calcChain>
</file>

<file path=xl/sharedStrings.xml><?xml version="1.0" encoding="utf-8"?>
<sst xmlns="http://schemas.openxmlformats.org/spreadsheetml/2006/main" count="225" uniqueCount="225">
  <si>
    <t>Problem</t>
  </si>
  <si>
    <t>推薦度</t>
  </si>
  <si>
    <t>AcceptRate</t>
  </si>
  <si>
    <t>ACs/Subs</t>
  </si>
  <si>
    <t>OnSite</t>
  </si>
  <si>
    <t>Access</t>
  </si>
  <si>
    <t>Appearance</t>
  </si>
  <si>
    <t>LastAppearance</t>
  </si>
  <si>
    <t>10038: Disk Tree  </t>
  </si>
  <si>
    <t>81/321</t>
  </si>
  <si>
    <t>10409: A mid-summer nightâs dream  </t>
  </si>
  <si>
    <t>718/3810</t>
  </si>
  <si>
    <t>10414: Bangla Numbers  </t>
  </si>
  <si>
    <t>314/2979</t>
  </si>
  <si>
    <t>10416: Last Digit  </t>
  </si>
  <si>
    <t>651/4229</t>
  </si>
  <si>
    <t>10417: The Hotel with Infinite Rooms  </t>
  </si>
  <si>
    <t>865/2846</t>
  </si>
  <si>
    <t>10418: Minesweeper  </t>
  </si>
  <si>
    <t>784/4604</t>
  </si>
  <si>
    <t>10421: All You Need Is Love  </t>
  </si>
  <si>
    <t>795/2638</t>
  </si>
  <si>
    <t>10422: Is This Integration ?  </t>
  </si>
  <si>
    <t>257/684</t>
  </si>
  <si>
    <t>10429: Contest Scoreboard  </t>
  </si>
  <si>
    <t>219/1160</t>
  </si>
  <si>
    <t>10432: Mine Sweeper  </t>
  </si>
  <si>
    <t>275/1865</t>
  </si>
  <si>
    <t>10437: Zeros and Ones  </t>
  </si>
  <si>
    <t>452/1595</t>
  </si>
  <si>
    <t>10456: Largest Square  </t>
  </si>
  <si>
    <t>0/73</t>
  </si>
  <si>
    <t>10465: Necklace  </t>
  </si>
  <si>
    <t>181/859</t>
  </si>
  <si>
    <t>10468: Maximum Product  </t>
  </si>
  <si>
    <t>306/2649</t>
  </si>
  <si>
    <t>10471: COUNTING CHAOS  </t>
  </si>
  <si>
    <t>153/596</t>
  </si>
  <si>
    <t>10500: Brick Wall Patterns  </t>
  </si>
  <si>
    <t>555/2175</t>
  </si>
  <si>
    <t>10501: Safe Salutations  </t>
  </si>
  <si>
    <t>392/2379</t>
  </si>
  <si>
    <t>10503: Show the Sequence  </t>
  </si>
  <si>
    <t>177/1157</t>
  </si>
  <si>
    <t>10505: Center of Masses  </t>
  </si>
  <si>
    <t>20/241</t>
  </si>
  <si>
    <t>10520: Conformity  </t>
  </si>
  <si>
    <t>478/1668</t>
  </si>
  <si>
    <t>10528: Light, more light  </t>
  </si>
  <si>
    <t>317/1390</t>
  </si>
  <si>
    <t>10531: Zipf's Law  </t>
  </si>
  <si>
    <t>169/1343</t>
  </si>
  <si>
    <t>10533: The Trip  </t>
  </si>
  <si>
    <t>80/668</t>
  </si>
  <si>
    <t>10535: Prime Distance  </t>
  </si>
  <si>
    <t>160/1080</t>
  </si>
  <si>
    <t>394/1018</t>
  </si>
  <si>
    <t>10552: Automated Judge Script  </t>
  </si>
  <si>
    <t>173/689</t>
  </si>
  <si>
    <t>10559: I Love Big Numbers !  </t>
  </si>
  <si>
    <t>260/927</t>
  </si>
  <si>
    <t>10567: Common Permutation  </t>
  </si>
  <si>
    <t>580/2319</t>
  </si>
  <si>
    <t>10579: Hay Points  </t>
  </si>
  <si>
    <t>397/698</t>
  </si>
  <si>
    <t>10582: Power Strings  </t>
  </si>
  <si>
    <t>281/1555</t>
  </si>
  <si>
    <t>10600: Network Connections  </t>
  </si>
  <si>
    <t>125/725</t>
  </si>
  <si>
    <t>10601: Eternal Truths  </t>
  </si>
  <si>
    <t>49/260</t>
  </si>
  <si>
    <t>10602: Longest Paths  </t>
  </si>
  <si>
    <t>91/544</t>
  </si>
  <si>
    <t>10603: Cutting Sticks  </t>
  </si>
  <si>
    <t>114/299</t>
  </si>
  <si>
    <t>10604: Packing polygons  </t>
  </si>
  <si>
    <t>12/69</t>
  </si>
  <si>
    <t>10605: Count the Trees  </t>
  </si>
  <si>
    <t>40/90</t>
  </si>
  <si>
    <t>10606: How Big Is It?  </t>
  </si>
  <si>
    <t>55/505</t>
  </si>
  <si>
    <t>10607: Joseph's Cousin  </t>
  </si>
  <si>
    <t>280/1294</t>
  </si>
  <si>
    <t>10608: Minimal coverage  </t>
  </si>
  <si>
    <t>147/1064</t>
  </si>
  <si>
    <t>10610: Curling up the cube  </t>
  </si>
  <si>
    <t>29/120</t>
  </si>
  <si>
    <t>10613: Tug of War  </t>
  </si>
  <si>
    <t>15/90</t>
  </si>
  <si>
    <t>10615: Divisibility  </t>
  </si>
  <si>
    <t>193/607</t>
  </si>
  <si>
    <t>10621: Luggage  </t>
  </si>
  <si>
    <t>335/1324</t>
  </si>
  <si>
    <t>10633: Take the Land  </t>
  </si>
  <si>
    <t>120/333</t>
  </si>
  <si>
    <t>10636: Gopher II  </t>
  </si>
  <si>
    <t>18/104</t>
  </si>
  <si>
    <t>10637: Tight words  </t>
  </si>
  <si>
    <t>89/287</t>
  </si>
  <si>
    <t>10642: Marbles  </t>
  </si>
  <si>
    <t>107/586</t>
  </si>
  <si>
    <t>10644: The Tourist Guide  </t>
  </si>
  <si>
    <t>81/289</t>
  </si>
  <si>
    <t>10645: Euclid Problem  </t>
  </si>
  <si>
    <t>40/149</t>
  </si>
  <si>
    <t>10655: Sumsets  </t>
  </si>
  <si>
    <t>436/2994</t>
  </si>
  <si>
    <t>10658: Is Bigger Smarter?  </t>
  </si>
  <si>
    <t>24/335</t>
  </si>
  <si>
    <t>10675: Urn-ball Probabilities!  </t>
  </si>
  <si>
    <t>28/70</t>
  </si>
  <si>
    <t>10679: Irreducible Basic Fractions  </t>
  </si>
  <si>
    <t>155/963</t>
  </si>
  <si>
    <t>10732: Snow Clearing  </t>
  </si>
  <si>
    <t>58/219</t>
  </si>
  <si>
    <t>10741: The Grand Dinner  </t>
  </si>
  <si>
    <t>5/104</t>
  </si>
  <si>
    <t>10766: Antimatter Ray Clearcutting  </t>
  </si>
  <si>
    <t>11/32</t>
  </si>
  <si>
    <t>10906: Matrix Decompressing  </t>
  </si>
  <si>
    <t>0/12</t>
  </si>
  <si>
    <t>11006: Rank the Languages  </t>
  </si>
  <si>
    <t>404/1242</t>
  </si>
  <si>
    <t>11017: Longest Common Subsequence  </t>
  </si>
  <si>
    <t>330/1462</t>
  </si>
  <si>
    <t>11019: Die Game  </t>
  </si>
  <si>
    <t>1092/3290</t>
  </si>
  <si>
    <t>11028: Digit Primes  </t>
  </si>
  <si>
    <t>216/704</t>
  </si>
  <si>
    <t>11041: Children's Game  </t>
  </si>
  <si>
    <t>482/2466</t>
  </si>
  <si>
    <t>11067: Cola  </t>
  </si>
  <si>
    <t>1206/5063</t>
  </si>
  <si>
    <t>11130: The Priest Mathematician  </t>
  </si>
  <si>
    <t>45/331</t>
  </si>
  <si>
    <t>11174: Homer Simpson  </t>
  </si>
  <si>
    <t>495/3760</t>
  </si>
  <si>
    <t>11179: Wavio Sequence  </t>
  </si>
  <si>
    <t>127/650</t>
  </si>
  <si>
    <t>11184: Opening Doors  </t>
  </si>
  <si>
    <t>9/76</t>
  </si>
  <si>
    <t>11192: Simple Minded Hashing  </t>
  </si>
  <si>
    <t>157/410</t>
  </si>
  <si>
    <t>11266: Generate random numbers  </t>
  </si>
  <si>
    <t>72/168</t>
  </si>
  <si>
    <t>2008-06: Parser and evaluator  </t>
  </si>
  <si>
    <t>17/194</t>
  </si>
  <si>
    <t>2008-19: Set partition  </t>
  </si>
  <si>
    <t>51/660</t>
  </si>
  <si>
    <t>2008-28: Longest monotonically increasing subsequence  </t>
  </si>
  <si>
    <t>72/430</t>
  </si>
  <si>
    <t>2008-37: Prefix expression evaluation  </t>
  </si>
  <si>
    <t>253/1232</t>
  </si>
  <si>
    <t>2009-02: Line Overlap Problem  </t>
  </si>
  <si>
    <t>37/606</t>
  </si>
  <si>
    <t>2009-17: Binary tree traversals  </t>
  </si>
  <si>
    <t>109/523</t>
  </si>
  <si>
    <t>2009-24: Unique lines  </t>
  </si>
  <si>
    <t>197/1485</t>
  </si>
  <si>
    <t>2015-01: Missing Numbers  </t>
  </si>
  <si>
    <t>236/2044</t>
  </si>
  <si>
    <t>2015-02: Recursion and Mod  </t>
  </si>
  <si>
    <t>217/2006</t>
  </si>
  <si>
    <t>2015-03: Sudoku (As Good As Lee Hsien Loong)  </t>
  </si>
  <si>
    <t>20/200</t>
  </si>
  <si>
    <t>2015-04: The N-th Element  </t>
  </si>
  <si>
    <t>15/1073</t>
  </si>
  <si>
    <t>2015-07: Minimum Path Sum  </t>
  </si>
  <si>
    <t>254/952</t>
  </si>
  <si>
    <t>2015-08: Climbing Stairs  </t>
  </si>
  <si>
    <t>160/2582</t>
  </si>
  <si>
    <t>2015-09: Longest Increasing Subsequence  </t>
  </si>
  <si>
    <t>324/1407</t>
  </si>
  <si>
    <t>21944: Power Crisis  </t>
  </si>
  <si>
    <t>533/2386</t>
  </si>
  <si>
    <t>21964: Fill the Containers  </t>
  </si>
  <si>
    <t>105/526</t>
  </si>
  <si>
    <t>22151: Big Mod  </t>
  </si>
  <si>
    <t>308/2139</t>
  </si>
  <si>
    <t>22161: Euclid Problem  </t>
  </si>
  <si>
    <t>116/469</t>
  </si>
  <si>
    <t>22171: Dungeon Master  </t>
  </si>
  <si>
    <t>193/768</t>
  </si>
  <si>
    <t>22181: Dollars  </t>
  </si>
  <si>
    <t>220/910</t>
  </si>
  <si>
    <t>22351: Quirksome Squares  </t>
  </si>
  <si>
    <t>417/1341</t>
  </si>
  <si>
    <t>22821: Oil Deposits  </t>
  </si>
  <si>
    <t>528/1884</t>
  </si>
  <si>
    <t>23551: Largest Square  </t>
  </si>
  <si>
    <t>530/2489</t>
  </si>
  <si>
    <t>23571: Smith Numbers  </t>
  </si>
  <si>
    <t>210/1078</t>
  </si>
  <si>
    <t>23581: Glass Beads  </t>
  </si>
  <si>
    <t>88/202</t>
  </si>
  <si>
    <t>23651: The jackpot  </t>
  </si>
  <si>
    <t>435/2157</t>
  </si>
  <si>
    <t>23661: Bit Mask  </t>
  </si>
  <si>
    <t>118/419</t>
  </si>
  <si>
    <t>23671: Camel trading  </t>
  </si>
  <si>
    <t>293/1404</t>
  </si>
  <si>
    <t>23681: Bachet's Game  </t>
  </si>
  <si>
    <t>105/211</t>
  </si>
  <si>
    <t>23771: Lexicographic Order  </t>
  </si>
  <si>
    <t>73/373</t>
  </si>
  <si>
    <t>23781: Making Change  </t>
  </si>
  <si>
    <t>74/323</t>
  </si>
  <si>
    <t>24461: Sum of Consecutive Prime Numbers  </t>
  </si>
  <si>
    <t>404/688</t>
  </si>
  <si>
    <t>24681: Perfection  </t>
  </si>
  <si>
    <t>993/4145</t>
  </si>
  <si>
    <t>24731: Roads in the North  </t>
  </si>
  <si>
    <t>89/416</t>
  </si>
  <si>
    <t>24911: Robot Instructions  </t>
  </si>
  <si>
    <t>964/2550</t>
  </si>
  <si>
    <t>308/2013</t>
  </si>
  <si>
    <t>24941: Uncompress  </t>
  </si>
  <si>
    <t>202/600</t>
  </si>
  <si>
    <t>25081: Solving Maze Problems  </t>
  </si>
  <si>
    <t>54/326</t>
  </si>
  <si>
    <t>寫過了嗎？</t>
    <phoneticPr fontId="1" type="noConversion"/>
  </si>
  <si>
    <t>24931: Extend to Palindromes  </t>
    <phoneticPr fontId="1" type="noConversion"/>
  </si>
  <si>
    <t>10551: Bee Maja  </t>
    <phoneticPr fontId="1" type="noConversion"/>
  </si>
  <si>
    <t>完成率</t>
    <phoneticPr fontId="1" type="noConversion"/>
  </si>
  <si>
    <t>複習率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</si>
</sst>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i/>
      <sz val="12"/>
      <color rgb="FF000000"/>
      <name val="Microsoft JhengHei"/>
      <family val="2"/>
      <charset val="136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10" fontId="2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</cellXfs>
  <cellStyles count="2">
    <cellStyle name="一般" xfId="0" builtinId="0"/>
    <cellStyle name="百分比" xfId="1" builtinId="5"/>
  </cellStyles>
  <dxfs count="1">
    <dxf>
      <fill>
        <patternFill>
          <bgColor rgb="FFCCFFCC"/>
        </patternFill>
      </fill>
    </dxf>
  </dxfs>
  <tableStyles count="0" defaultTableStyle="TableStyleMedium2" defaultPivotStyle="PivotStyleLight16"/>
  <colors>
    <mruColors>
      <color rgb="FFFF0066"/>
      <color rgb="FF66FF99"/>
      <color rgb="FFCCFFCC"/>
      <color rgb="FFDAF2D0"/>
      <color rgb="FFFFCCCC"/>
      <color rgb="FFFFFFCC"/>
      <color rgb="FFFF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C744-4366-43EF-B90C-A462B6A9762F}">
  <dimension ref="A1:O295"/>
  <sheetViews>
    <sheetView tabSelected="1" zoomScale="87" workbookViewId="0">
      <selection activeCell="J12" sqref="J12"/>
    </sheetView>
  </sheetViews>
  <sheetFormatPr defaultColWidth="9" defaultRowHeight="16.5"/>
  <cols>
    <col min="1" max="1" width="42" customWidth="1"/>
    <col min="4" max="4" width="11.875" customWidth="1"/>
    <col min="7" max="7" width="14.125" customWidth="1"/>
    <col min="8" max="8" width="14.5" customWidth="1"/>
    <col min="9" max="9" width="14.25" customWidth="1"/>
    <col min="12" max="12" width="14.5" customWidth="1"/>
    <col min="13" max="13" width="3" customWidth="1"/>
    <col min="15" max="15" width="14.875" customWidth="1"/>
  </cols>
  <sheetData>
    <row r="1" spans="1:15" ht="16.5" customHeight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220</v>
      </c>
      <c r="K1" s="1" t="s">
        <v>223</v>
      </c>
      <c r="L1" s="2">
        <f>COUNTIF(I:I, "&gt;0")/(COUNTA(I:I)-1)</f>
        <v>0.13084112149532709</v>
      </c>
      <c r="N1" s="1" t="s">
        <v>224</v>
      </c>
      <c r="O1" s="2">
        <f>SUMIF(I:I, "&gt;0")/COUNTIF(I:I, "&gt;0") - 1</f>
        <v>0</v>
      </c>
    </row>
    <row r="2" spans="1:15" ht="39.75" customHeight="1">
      <c r="A2" s="1"/>
      <c r="B2" s="1"/>
      <c r="C2" s="1"/>
      <c r="D2" s="4"/>
      <c r="E2" s="1"/>
      <c r="F2" s="1"/>
      <c r="G2" s="1"/>
      <c r="H2" s="1"/>
      <c r="I2" s="1"/>
      <c r="K2" s="1"/>
      <c r="L2" s="2"/>
      <c r="N2" s="1"/>
      <c r="O2" s="2"/>
    </row>
    <row r="3" spans="1:15" ht="21" customHeight="1">
      <c r="A3" s="3" t="s">
        <v>157</v>
      </c>
      <c r="B3" s="3">
        <v>3</v>
      </c>
      <c r="C3" s="6">
        <v>0.13270000000000001</v>
      </c>
      <c r="D3" s="4" t="s">
        <v>158</v>
      </c>
      <c r="E3" s="3">
        <v>41</v>
      </c>
      <c r="F3" s="3">
        <v>7759</v>
      </c>
      <c r="G3" s="3">
        <v>8</v>
      </c>
      <c r="H3" s="5">
        <v>44202</v>
      </c>
      <c r="I3" s="3">
        <v>1</v>
      </c>
    </row>
    <row r="4" spans="1:15" ht="21" customHeight="1">
      <c r="A4" s="3"/>
      <c r="B4" s="3"/>
      <c r="C4" s="6"/>
      <c r="D4" s="4"/>
      <c r="E4" s="3"/>
      <c r="F4" s="3"/>
      <c r="G4" s="3"/>
      <c r="H4" s="5"/>
      <c r="I4" s="3"/>
    </row>
    <row r="5" spans="1:15" ht="21" customHeight="1">
      <c r="A5" s="3" t="s">
        <v>173</v>
      </c>
      <c r="B5" s="3">
        <v>3</v>
      </c>
      <c r="C5" s="6">
        <v>0.22339999999999999</v>
      </c>
      <c r="D5" s="4" t="s">
        <v>174</v>
      </c>
      <c r="E5" s="3">
        <v>28</v>
      </c>
      <c r="F5" s="3">
        <v>9512</v>
      </c>
      <c r="G5" s="3">
        <v>6</v>
      </c>
      <c r="H5" s="5">
        <v>44293</v>
      </c>
      <c r="I5" s="3">
        <v>1</v>
      </c>
    </row>
    <row r="6" spans="1:15" ht="21" customHeight="1">
      <c r="A6" s="3"/>
      <c r="B6" s="3"/>
      <c r="C6" s="6"/>
      <c r="D6" s="4"/>
      <c r="E6" s="3"/>
      <c r="F6" s="3"/>
      <c r="G6" s="3"/>
      <c r="H6" s="5"/>
      <c r="I6" s="3"/>
    </row>
    <row r="7" spans="1:15" ht="21" customHeight="1">
      <c r="A7" s="3" t="s">
        <v>105</v>
      </c>
      <c r="B7" s="3">
        <v>3</v>
      </c>
      <c r="C7" s="6">
        <v>0.14560000000000001</v>
      </c>
      <c r="D7" s="4" t="s">
        <v>106</v>
      </c>
      <c r="E7" s="3">
        <v>18</v>
      </c>
      <c r="F7" s="3">
        <v>13488</v>
      </c>
      <c r="G7" s="3">
        <v>6</v>
      </c>
      <c r="H7" s="5">
        <v>44328</v>
      </c>
      <c r="I7" s="3">
        <v>1</v>
      </c>
    </row>
    <row r="8" spans="1:15" ht="21" customHeight="1">
      <c r="A8" s="3"/>
      <c r="B8" s="3"/>
      <c r="C8" s="6"/>
      <c r="D8" s="4"/>
      <c r="E8" s="3"/>
      <c r="F8" s="3"/>
      <c r="G8" s="3"/>
      <c r="H8" s="5"/>
      <c r="I8" s="3"/>
    </row>
    <row r="9" spans="1:15" ht="21" customHeight="1">
      <c r="A9" s="3" t="s">
        <v>221</v>
      </c>
      <c r="B9" s="3">
        <v>2</v>
      </c>
      <c r="C9" s="6">
        <v>0.153</v>
      </c>
      <c r="D9" s="4" t="s">
        <v>215</v>
      </c>
      <c r="E9" s="3">
        <v>22</v>
      </c>
      <c r="F9" s="3">
        <v>6746</v>
      </c>
      <c r="G9" s="3">
        <v>5</v>
      </c>
      <c r="H9" s="5">
        <v>44277</v>
      </c>
      <c r="I9" s="3">
        <v>1</v>
      </c>
    </row>
    <row r="10" spans="1:15" ht="21" customHeight="1">
      <c r="A10" s="3"/>
      <c r="B10" s="3"/>
      <c r="C10" s="6"/>
      <c r="D10" s="4"/>
      <c r="E10" s="3"/>
      <c r="F10" s="3"/>
      <c r="G10" s="3"/>
      <c r="H10" s="5"/>
      <c r="I10" s="3"/>
    </row>
    <row r="11" spans="1:15" ht="21" customHeight="1">
      <c r="A11" s="3" t="s">
        <v>222</v>
      </c>
      <c r="B11" s="3">
        <v>3</v>
      </c>
      <c r="C11" s="6">
        <v>0.38700000000000001</v>
      </c>
      <c r="D11" s="4" t="s">
        <v>56</v>
      </c>
      <c r="E11" s="3">
        <v>21</v>
      </c>
      <c r="F11" s="3">
        <v>5268</v>
      </c>
      <c r="G11" s="3">
        <v>5</v>
      </c>
      <c r="H11" s="5">
        <v>44312</v>
      </c>
      <c r="I11" s="3">
        <v>1</v>
      </c>
    </row>
    <row r="12" spans="1:15" ht="21" customHeight="1">
      <c r="A12" s="3"/>
      <c r="B12" s="3"/>
      <c r="C12" s="6"/>
      <c r="D12" s="4"/>
      <c r="E12" s="3"/>
      <c r="F12" s="3"/>
      <c r="G12" s="3"/>
      <c r="H12" s="5"/>
      <c r="I12" s="3"/>
    </row>
    <row r="13" spans="1:15" ht="21" customHeight="1">
      <c r="A13" s="3" t="s">
        <v>42</v>
      </c>
      <c r="B13" s="3">
        <v>2</v>
      </c>
      <c r="C13" s="6">
        <v>0.153</v>
      </c>
      <c r="D13" s="4" t="s">
        <v>43</v>
      </c>
      <c r="E13" s="3">
        <v>19</v>
      </c>
      <c r="F13" s="3">
        <v>8263</v>
      </c>
      <c r="G13" s="3">
        <v>5</v>
      </c>
      <c r="H13" s="5">
        <v>44277</v>
      </c>
      <c r="I13" s="3">
        <v>0</v>
      </c>
    </row>
    <row r="14" spans="1:15" ht="21" customHeight="1">
      <c r="A14" s="3"/>
      <c r="B14" s="3"/>
      <c r="C14" s="6"/>
      <c r="D14" s="4"/>
      <c r="E14" s="3"/>
      <c r="F14" s="3"/>
      <c r="G14" s="3"/>
      <c r="H14" s="5"/>
      <c r="I14" s="3"/>
    </row>
    <row r="15" spans="1:15" ht="21" customHeight="1">
      <c r="A15" s="3" t="s">
        <v>163</v>
      </c>
      <c r="B15" s="7"/>
      <c r="C15" s="8">
        <v>0.1</v>
      </c>
      <c r="D15" s="4" t="s">
        <v>164</v>
      </c>
      <c r="E15" s="3">
        <v>8</v>
      </c>
      <c r="F15" s="3">
        <v>2383</v>
      </c>
      <c r="G15" s="3">
        <v>5</v>
      </c>
      <c r="H15" s="5">
        <v>43999</v>
      </c>
      <c r="I15" s="3">
        <v>0</v>
      </c>
    </row>
    <row r="16" spans="1:15" ht="21" customHeight="1">
      <c r="A16" s="3"/>
      <c r="B16" s="7"/>
      <c r="C16" s="8"/>
      <c r="D16" s="4"/>
      <c r="E16" s="3"/>
      <c r="F16" s="3"/>
      <c r="G16" s="3"/>
      <c r="H16" s="5"/>
      <c r="I16" s="3"/>
    </row>
    <row r="17" spans="1:9" ht="21" customHeight="1">
      <c r="A17" s="3" t="s">
        <v>151</v>
      </c>
      <c r="B17" s="3">
        <v>3</v>
      </c>
      <c r="C17" s="6">
        <v>0.2054</v>
      </c>
      <c r="D17" s="4" t="s">
        <v>152</v>
      </c>
      <c r="E17" s="3">
        <v>39</v>
      </c>
      <c r="F17" s="3">
        <v>5830</v>
      </c>
      <c r="G17" s="3">
        <v>4</v>
      </c>
      <c r="H17" s="5">
        <v>44146</v>
      </c>
      <c r="I17" s="3">
        <v>0</v>
      </c>
    </row>
    <row r="18" spans="1:9" ht="21" customHeight="1">
      <c r="A18" s="3"/>
      <c r="B18" s="3"/>
      <c r="C18" s="6"/>
      <c r="D18" s="4"/>
      <c r="E18" s="3"/>
      <c r="F18" s="3"/>
      <c r="G18" s="3"/>
      <c r="H18" s="5"/>
      <c r="I18" s="3"/>
    </row>
    <row r="19" spans="1:9" ht="21" customHeight="1">
      <c r="A19" s="3" t="s">
        <v>147</v>
      </c>
      <c r="B19" s="3">
        <v>2</v>
      </c>
      <c r="C19" s="6">
        <v>7.7299999999999994E-2</v>
      </c>
      <c r="D19" s="4" t="s">
        <v>148</v>
      </c>
      <c r="E19" s="3">
        <v>30</v>
      </c>
      <c r="F19" s="3">
        <v>4997</v>
      </c>
      <c r="G19" s="3">
        <v>4</v>
      </c>
      <c r="H19" s="5">
        <v>44165</v>
      </c>
      <c r="I19" s="3">
        <v>0</v>
      </c>
    </row>
    <row r="20" spans="1:9" ht="21" customHeight="1">
      <c r="A20" s="3"/>
      <c r="B20" s="3"/>
      <c r="C20" s="6"/>
      <c r="D20" s="4"/>
      <c r="E20" s="3"/>
      <c r="F20" s="3"/>
      <c r="G20" s="3"/>
      <c r="H20" s="5"/>
      <c r="I20" s="3"/>
    </row>
    <row r="21" spans="1:9" ht="21" customHeight="1">
      <c r="A21" s="3" t="s">
        <v>83</v>
      </c>
      <c r="B21" s="3">
        <v>2</v>
      </c>
      <c r="C21" s="6">
        <v>0.13819999999999999</v>
      </c>
      <c r="D21" s="4" t="s">
        <v>84</v>
      </c>
      <c r="E21" s="3">
        <v>25</v>
      </c>
      <c r="F21" s="3">
        <v>4140</v>
      </c>
      <c r="G21" s="3">
        <v>4</v>
      </c>
      <c r="H21" s="5">
        <v>44125</v>
      </c>
      <c r="I21" s="3">
        <v>0</v>
      </c>
    </row>
    <row r="22" spans="1:9" ht="21" customHeight="1">
      <c r="A22" s="3"/>
      <c r="B22" s="3"/>
      <c r="C22" s="6"/>
      <c r="D22" s="4"/>
      <c r="E22" s="3"/>
      <c r="F22" s="3"/>
      <c r="G22" s="3"/>
      <c r="H22" s="5"/>
      <c r="I22" s="3"/>
    </row>
    <row r="23" spans="1:9" ht="21" customHeight="1">
      <c r="A23" s="3" t="s">
        <v>216</v>
      </c>
      <c r="B23" s="3">
        <v>3</v>
      </c>
      <c r="C23" s="6">
        <v>0.3367</v>
      </c>
      <c r="D23" s="4" t="s">
        <v>217</v>
      </c>
      <c r="E23" s="3">
        <v>21</v>
      </c>
      <c r="F23" s="3">
        <v>4658</v>
      </c>
      <c r="G23" s="3">
        <v>4</v>
      </c>
      <c r="H23" s="5">
        <v>44202</v>
      </c>
      <c r="I23" s="3">
        <v>1</v>
      </c>
    </row>
    <row r="24" spans="1:9" ht="21" customHeight="1">
      <c r="A24" s="3"/>
      <c r="B24" s="3"/>
      <c r="C24" s="6"/>
      <c r="D24" s="4"/>
      <c r="E24" s="3"/>
      <c r="F24" s="3"/>
      <c r="G24" s="3"/>
      <c r="H24" s="5"/>
      <c r="I24" s="3"/>
    </row>
    <row r="25" spans="1:9" ht="21" customHeight="1">
      <c r="A25" s="3" t="s">
        <v>183</v>
      </c>
      <c r="B25" s="3">
        <v>3</v>
      </c>
      <c r="C25" s="6">
        <v>0.24179999999999999</v>
      </c>
      <c r="D25" s="4" t="s">
        <v>184</v>
      </c>
      <c r="E25" s="3">
        <v>19</v>
      </c>
      <c r="F25" s="3">
        <v>5531</v>
      </c>
      <c r="G25" s="3">
        <v>4</v>
      </c>
      <c r="H25" s="5">
        <v>44214</v>
      </c>
      <c r="I25" s="3">
        <v>1</v>
      </c>
    </row>
    <row r="26" spans="1:9" ht="21" customHeight="1">
      <c r="A26" s="3"/>
      <c r="B26" s="3"/>
      <c r="C26" s="6"/>
      <c r="D26" s="4"/>
      <c r="E26" s="3"/>
      <c r="F26" s="3"/>
      <c r="G26" s="3"/>
      <c r="H26" s="5"/>
      <c r="I26" s="3"/>
    </row>
    <row r="27" spans="1:9" ht="21" customHeight="1">
      <c r="A27" s="3" t="s">
        <v>91</v>
      </c>
      <c r="B27" s="3">
        <v>3</v>
      </c>
      <c r="C27" s="6">
        <v>0.253</v>
      </c>
      <c r="D27" s="4" t="s">
        <v>92</v>
      </c>
      <c r="E27" s="3">
        <v>18</v>
      </c>
      <c r="F27" s="3">
        <v>6938</v>
      </c>
      <c r="G27" s="3">
        <v>4</v>
      </c>
      <c r="H27" s="5">
        <v>44202</v>
      </c>
      <c r="I27" s="3">
        <v>0</v>
      </c>
    </row>
    <row r="28" spans="1:9" ht="21" customHeight="1">
      <c r="A28" s="3"/>
      <c r="B28" s="3"/>
      <c r="C28" s="6"/>
      <c r="D28" s="4"/>
      <c r="E28" s="3"/>
      <c r="F28" s="3"/>
      <c r="G28" s="3"/>
      <c r="H28" s="5"/>
      <c r="I28" s="3"/>
    </row>
    <row r="29" spans="1:9" ht="21" customHeight="1">
      <c r="A29" s="3" t="s">
        <v>24</v>
      </c>
      <c r="B29" s="3">
        <v>2</v>
      </c>
      <c r="C29" s="6">
        <v>0.1888</v>
      </c>
      <c r="D29" s="4" t="s">
        <v>25</v>
      </c>
      <c r="E29" s="3">
        <v>18</v>
      </c>
      <c r="F29" s="3">
        <v>6426</v>
      </c>
      <c r="G29" s="3">
        <v>4</v>
      </c>
      <c r="H29" s="5">
        <v>44293</v>
      </c>
      <c r="I29" s="3">
        <v>0</v>
      </c>
    </row>
    <row r="30" spans="1:9" ht="21" customHeight="1">
      <c r="A30" s="3"/>
      <c r="B30" s="3"/>
      <c r="C30" s="6"/>
      <c r="D30" s="4"/>
      <c r="E30" s="3"/>
      <c r="F30" s="3"/>
      <c r="G30" s="3"/>
      <c r="H30" s="5"/>
      <c r="I30" s="3"/>
    </row>
    <row r="31" spans="1:9" ht="21" customHeight="1">
      <c r="A31" s="3" t="s">
        <v>211</v>
      </c>
      <c r="B31" s="3">
        <v>2</v>
      </c>
      <c r="C31" s="6">
        <v>0.21390000000000001</v>
      </c>
      <c r="D31" s="4" t="s">
        <v>212</v>
      </c>
      <c r="E31" s="3">
        <v>17</v>
      </c>
      <c r="F31" s="3">
        <v>4280</v>
      </c>
      <c r="G31" s="3">
        <v>4</v>
      </c>
      <c r="H31" s="5">
        <v>44328</v>
      </c>
      <c r="I31" s="3">
        <v>0</v>
      </c>
    </row>
    <row r="32" spans="1:9" ht="16.5" customHeight="1">
      <c r="A32" s="3"/>
      <c r="B32" s="3"/>
      <c r="C32" s="6"/>
      <c r="D32" s="4"/>
      <c r="E32" s="3"/>
      <c r="F32" s="3"/>
      <c r="G32" s="3"/>
      <c r="H32" s="5"/>
      <c r="I32" s="3"/>
    </row>
    <row r="33" spans="1:9" ht="21" customHeight="1">
      <c r="A33" s="3" t="s">
        <v>125</v>
      </c>
      <c r="B33" s="3">
        <v>3</v>
      </c>
      <c r="C33" s="6">
        <v>0.33189999999999997</v>
      </c>
      <c r="D33" s="4" t="s">
        <v>126</v>
      </c>
      <c r="E33" s="3">
        <v>15</v>
      </c>
      <c r="F33" s="3">
        <v>13250</v>
      </c>
      <c r="G33" s="3">
        <v>4</v>
      </c>
      <c r="H33" s="5">
        <v>44085</v>
      </c>
      <c r="I33" s="3">
        <v>0</v>
      </c>
    </row>
    <row r="34" spans="1:9" ht="16.5" customHeight="1">
      <c r="A34" s="3"/>
      <c r="B34" s="3"/>
      <c r="C34" s="6"/>
      <c r="D34" s="4"/>
      <c r="E34" s="3"/>
      <c r="F34" s="3"/>
      <c r="G34" s="3"/>
      <c r="H34" s="5"/>
      <c r="I34" s="3"/>
    </row>
    <row r="35" spans="1:9" ht="21" customHeight="1">
      <c r="A35" s="3" t="s">
        <v>181</v>
      </c>
      <c r="B35" s="3">
        <v>2</v>
      </c>
      <c r="C35" s="6">
        <v>0.25130000000000002</v>
      </c>
      <c r="D35" s="4" t="s">
        <v>182</v>
      </c>
      <c r="E35" s="3">
        <v>15</v>
      </c>
      <c r="F35" s="3">
        <v>4427</v>
      </c>
      <c r="G35" s="3">
        <v>4</v>
      </c>
      <c r="H35" s="5">
        <v>44078</v>
      </c>
      <c r="I35" s="3">
        <v>0</v>
      </c>
    </row>
    <row r="36" spans="1:9" ht="16.5" customHeight="1">
      <c r="A36" s="3"/>
      <c r="B36" s="3"/>
      <c r="C36" s="6"/>
      <c r="D36" s="4"/>
      <c r="E36" s="3"/>
      <c r="F36" s="3"/>
      <c r="G36" s="3"/>
      <c r="H36" s="5"/>
      <c r="I36" s="3"/>
    </row>
    <row r="37" spans="1:9" ht="21" customHeight="1">
      <c r="A37" s="3" t="s">
        <v>67</v>
      </c>
      <c r="B37" s="3">
        <v>1</v>
      </c>
      <c r="C37" s="6">
        <v>0.1724</v>
      </c>
      <c r="D37" s="4" t="s">
        <v>68</v>
      </c>
      <c r="E37" s="3">
        <v>10</v>
      </c>
      <c r="F37" s="3">
        <v>4154</v>
      </c>
      <c r="G37" s="3">
        <v>4</v>
      </c>
      <c r="H37" s="5">
        <v>44312</v>
      </c>
      <c r="I37" s="3">
        <v>0</v>
      </c>
    </row>
    <row r="38" spans="1:9" ht="16.5" customHeight="1">
      <c r="A38" s="3"/>
      <c r="B38" s="3"/>
      <c r="C38" s="6"/>
      <c r="D38" s="4"/>
      <c r="E38" s="3"/>
      <c r="F38" s="3"/>
      <c r="G38" s="3"/>
      <c r="H38" s="5"/>
      <c r="I38" s="3"/>
    </row>
    <row r="39" spans="1:9" ht="21" customHeight="1">
      <c r="A39" s="3" t="s">
        <v>171</v>
      </c>
      <c r="B39" s="3">
        <v>2</v>
      </c>
      <c r="C39" s="6">
        <v>0.2303</v>
      </c>
      <c r="D39" s="4" t="s">
        <v>172</v>
      </c>
      <c r="E39" s="3">
        <v>9</v>
      </c>
      <c r="F39" s="3">
        <v>4593</v>
      </c>
      <c r="G39" s="3">
        <v>4</v>
      </c>
      <c r="H39" s="5">
        <v>44312</v>
      </c>
      <c r="I39" s="3">
        <v>0</v>
      </c>
    </row>
    <row r="40" spans="1:9" ht="16.5" customHeight="1">
      <c r="A40" s="3"/>
      <c r="B40" s="3"/>
      <c r="C40" s="6"/>
      <c r="D40" s="4"/>
      <c r="E40" s="3"/>
      <c r="F40" s="3"/>
      <c r="G40" s="3"/>
      <c r="H40" s="5"/>
      <c r="I40" s="3"/>
    </row>
    <row r="41" spans="1:9" ht="21" customHeight="1">
      <c r="A41" s="3" t="s">
        <v>54</v>
      </c>
      <c r="B41" s="3">
        <v>1</v>
      </c>
      <c r="C41" s="6">
        <v>0.14810000000000001</v>
      </c>
      <c r="D41" s="4" t="s">
        <v>55</v>
      </c>
      <c r="E41" s="3">
        <v>7</v>
      </c>
      <c r="F41" s="3">
        <v>6809</v>
      </c>
      <c r="G41" s="3">
        <v>4</v>
      </c>
      <c r="H41" s="5">
        <v>44277</v>
      </c>
      <c r="I41" s="3">
        <v>0</v>
      </c>
    </row>
    <row r="42" spans="1:9" ht="16.5" customHeight="1">
      <c r="A42" s="3"/>
      <c r="B42" s="3"/>
      <c r="C42" s="6"/>
      <c r="D42" s="4"/>
      <c r="E42" s="3"/>
      <c r="F42" s="3"/>
      <c r="G42" s="3"/>
      <c r="H42" s="5"/>
      <c r="I42" s="3"/>
    </row>
    <row r="43" spans="1:9" ht="21" customHeight="1">
      <c r="A43" s="3" t="s">
        <v>71</v>
      </c>
      <c r="B43" s="3">
        <v>1</v>
      </c>
      <c r="C43" s="6">
        <v>0.1673</v>
      </c>
      <c r="D43" s="4" t="s">
        <v>72</v>
      </c>
      <c r="E43" s="3">
        <v>7</v>
      </c>
      <c r="F43" s="3">
        <v>4034</v>
      </c>
      <c r="G43" s="3">
        <v>4</v>
      </c>
      <c r="H43" s="5">
        <v>44328</v>
      </c>
      <c r="I43" s="3">
        <v>0</v>
      </c>
    </row>
    <row r="44" spans="1:9" ht="16.5" customHeight="1">
      <c r="A44" s="3"/>
      <c r="B44" s="3"/>
      <c r="C44" s="6"/>
      <c r="D44" s="4"/>
      <c r="E44" s="3"/>
      <c r="F44" s="3"/>
      <c r="G44" s="3"/>
      <c r="H44" s="5"/>
      <c r="I44" s="3"/>
    </row>
    <row r="45" spans="1:9" ht="21" customHeight="1">
      <c r="A45" s="3" t="s">
        <v>85</v>
      </c>
      <c r="B45" s="3">
        <v>1</v>
      </c>
      <c r="C45" s="6">
        <v>0.2417</v>
      </c>
      <c r="D45" s="4" t="s">
        <v>86</v>
      </c>
      <c r="E45" s="3">
        <v>5</v>
      </c>
      <c r="F45" s="3">
        <v>1488</v>
      </c>
      <c r="G45" s="3">
        <v>4</v>
      </c>
      <c r="H45" s="5">
        <v>44085</v>
      </c>
      <c r="I45" s="3">
        <v>0</v>
      </c>
    </row>
    <row r="46" spans="1:9" ht="16.5" customHeight="1">
      <c r="A46" s="3"/>
      <c r="B46" s="3"/>
      <c r="C46" s="6"/>
      <c r="D46" s="4"/>
      <c r="E46" s="3"/>
      <c r="F46" s="3"/>
      <c r="G46" s="3"/>
      <c r="H46" s="5"/>
      <c r="I46" s="3"/>
    </row>
    <row r="47" spans="1:9" ht="21" customHeight="1">
      <c r="A47" s="3" t="s">
        <v>46</v>
      </c>
      <c r="B47" s="3">
        <v>3</v>
      </c>
      <c r="C47" s="6">
        <v>0.28660000000000002</v>
      </c>
      <c r="D47" s="4" t="s">
        <v>47</v>
      </c>
      <c r="E47" s="3">
        <v>32</v>
      </c>
      <c r="F47" s="3">
        <v>9880</v>
      </c>
      <c r="G47" s="3">
        <v>3</v>
      </c>
      <c r="H47" s="5">
        <v>44181</v>
      </c>
      <c r="I47" s="3">
        <v>0</v>
      </c>
    </row>
    <row r="48" spans="1:9" ht="16.5" customHeight="1">
      <c r="A48" s="3"/>
      <c r="B48" s="3"/>
      <c r="C48" s="6"/>
      <c r="D48" s="4"/>
      <c r="E48" s="3"/>
      <c r="F48" s="3"/>
      <c r="G48" s="3"/>
      <c r="H48" s="5"/>
      <c r="I48" s="3"/>
    </row>
    <row r="49" spans="1:9" ht="21" customHeight="1">
      <c r="A49" s="3" t="s">
        <v>153</v>
      </c>
      <c r="B49" s="3">
        <v>2</v>
      </c>
      <c r="C49" s="6">
        <v>6.1100000000000002E-2</v>
      </c>
      <c r="D49" s="4" t="s">
        <v>154</v>
      </c>
      <c r="E49" s="3">
        <v>24</v>
      </c>
      <c r="F49" s="3">
        <v>3775</v>
      </c>
      <c r="G49" s="3">
        <v>3</v>
      </c>
      <c r="H49" s="5">
        <v>44312</v>
      </c>
      <c r="I49" s="3">
        <v>0</v>
      </c>
    </row>
    <row r="50" spans="1:9" ht="16.5" customHeight="1">
      <c r="A50" s="3"/>
      <c r="B50" s="3"/>
      <c r="C50" s="6"/>
      <c r="D50" s="4"/>
      <c r="E50" s="3"/>
      <c r="F50" s="3"/>
      <c r="G50" s="3"/>
      <c r="H50" s="5"/>
      <c r="I50" s="3"/>
    </row>
    <row r="51" spans="1:9" ht="21" customHeight="1">
      <c r="A51" s="3" t="s">
        <v>121</v>
      </c>
      <c r="B51" s="3">
        <v>3</v>
      </c>
      <c r="C51" s="6">
        <v>0.32529999999999998</v>
      </c>
      <c r="D51" s="4" t="s">
        <v>122</v>
      </c>
      <c r="E51" s="3">
        <v>23</v>
      </c>
      <c r="F51" s="3">
        <v>6414</v>
      </c>
      <c r="G51" s="3">
        <v>3</v>
      </c>
      <c r="H51" s="5">
        <v>44293</v>
      </c>
      <c r="I51" s="3">
        <v>0</v>
      </c>
    </row>
    <row r="52" spans="1:9" ht="16.5" customHeight="1">
      <c r="A52" s="3"/>
      <c r="B52" s="3"/>
      <c r="C52" s="6"/>
      <c r="D52" s="4"/>
      <c r="E52" s="3"/>
      <c r="F52" s="3"/>
      <c r="G52" s="3"/>
      <c r="H52" s="5"/>
      <c r="I52" s="3"/>
    </row>
    <row r="53" spans="1:9" ht="21" customHeight="1">
      <c r="A53" s="3" t="s">
        <v>191</v>
      </c>
      <c r="B53" s="3">
        <v>2</v>
      </c>
      <c r="C53" s="6">
        <v>0.1948</v>
      </c>
      <c r="D53" s="4" t="s">
        <v>192</v>
      </c>
      <c r="E53" s="3">
        <v>21</v>
      </c>
      <c r="F53" s="3">
        <v>4393</v>
      </c>
      <c r="G53" s="3">
        <v>3</v>
      </c>
      <c r="H53" s="5">
        <v>44265</v>
      </c>
      <c r="I53" s="3">
        <v>0</v>
      </c>
    </row>
    <row r="54" spans="1:9" ht="16.5" customHeight="1">
      <c r="A54" s="3"/>
      <c r="B54" s="3"/>
      <c r="C54" s="6"/>
      <c r="D54" s="4"/>
      <c r="E54" s="3"/>
      <c r="F54" s="3"/>
      <c r="G54" s="3"/>
      <c r="H54" s="5"/>
      <c r="I54" s="3"/>
    </row>
    <row r="55" spans="1:9" ht="21" customHeight="1">
      <c r="A55" s="3" t="s">
        <v>205</v>
      </c>
      <c r="B55" s="3">
        <v>2</v>
      </c>
      <c r="C55" s="6">
        <v>0.2291</v>
      </c>
      <c r="D55" s="4" t="s">
        <v>206</v>
      </c>
      <c r="E55" s="3">
        <v>20</v>
      </c>
      <c r="F55" s="3">
        <v>3347</v>
      </c>
      <c r="G55" s="3">
        <v>3</v>
      </c>
      <c r="H55" s="5">
        <v>44293</v>
      </c>
      <c r="I55" s="3">
        <v>0</v>
      </c>
    </row>
    <row r="56" spans="1:9" ht="16.5" customHeight="1">
      <c r="A56" s="3"/>
      <c r="B56" s="3"/>
      <c r="C56" s="6"/>
      <c r="D56" s="4"/>
      <c r="E56" s="3"/>
      <c r="F56" s="3"/>
      <c r="G56" s="3"/>
      <c r="H56" s="5"/>
      <c r="I56" s="3"/>
    </row>
    <row r="57" spans="1:9" ht="21" customHeight="1">
      <c r="A57" s="3" t="s">
        <v>129</v>
      </c>
      <c r="B57" s="3">
        <v>2</v>
      </c>
      <c r="C57" s="6">
        <v>0.19550000000000001</v>
      </c>
      <c r="D57" s="4" t="s">
        <v>130</v>
      </c>
      <c r="E57" s="3">
        <v>19</v>
      </c>
      <c r="F57" s="3">
        <v>7019</v>
      </c>
      <c r="G57" s="3">
        <v>3</v>
      </c>
      <c r="H57" s="5">
        <v>44125</v>
      </c>
      <c r="I57" s="3">
        <v>0</v>
      </c>
    </row>
    <row r="58" spans="1:9" ht="16.5" customHeight="1">
      <c r="A58" s="3"/>
      <c r="B58" s="3"/>
      <c r="C58" s="6"/>
      <c r="D58" s="4"/>
      <c r="E58" s="3"/>
      <c r="F58" s="3"/>
      <c r="G58" s="3"/>
      <c r="H58" s="5"/>
      <c r="I58" s="3"/>
    </row>
    <row r="59" spans="1:9" ht="21" customHeight="1">
      <c r="A59" s="3" t="s">
        <v>187</v>
      </c>
      <c r="B59" s="3">
        <v>3</v>
      </c>
      <c r="C59" s="6">
        <v>0.28029999999999999</v>
      </c>
      <c r="D59" s="4" t="s">
        <v>188</v>
      </c>
      <c r="E59" s="3">
        <v>16</v>
      </c>
      <c r="F59" s="3">
        <v>5908</v>
      </c>
      <c r="G59" s="3">
        <v>3</v>
      </c>
      <c r="H59" s="5">
        <v>43999</v>
      </c>
      <c r="I59" s="3">
        <v>1</v>
      </c>
    </row>
    <row r="60" spans="1:9" ht="16.5" customHeight="1">
      <c r="A60" s="3"/>
      <c r="B60" s="3"/>
      <c r="C60" s="6"/>
      <c r="D60" s="4"/>
      <c r="E60" s="3"/>
      <c r="F60" s="3"/>
      <c r="G60" s="3"/>
      <c r="H60" s="5"/>
      <c r="I60" s="3"/>
    </row>
    <row r="61" spans="1:9" ht="21" customHeight="1">
      <c r="A61" s="3" t="s">
        <v>189</v>
      </c>
      <c r="B61" s="3">
        <v>2</v>
      </c>
      <c r="C61" s="6">
        <v>0.21290000000000001</v>
      </c>
      <c r="D61" s="4" t="s">
        <v>190</v>
      </c>
      <c r="E61" s="3">
        <v>16</v>
      </c>
      <c r="F61" s="3">
        <v>6968</v>
      </c>
      <c r="G61" s="3">
        <v>3</v>
      </c>
      <c r="H61" s="5">
        <v>44312</v>
      </c>
      <c r="I61" s="3">
        <v>0</v>
      </c>
    </row>
    <row r="62" spans="1:9" ht="16.5" customHeight="1">
      <c r="A62" s="3"/>
      <c r="B62" s="3"/>
      <c r="C62" s="6"/>
      <c r="D62" s="4"/>
      <c r="E62" s="3"/>
      <c r="F62" s="3"/>
      <c r="G62" s="3"/>
      <c r="H62" s="5"/>
      <c r="I62" s="3"/>
    </row>
    <row r="63" spans="1:9" ht="21" customHeight="1">
      <c r="A63" s="3" t="s">
        <v>123</v>
      </c>
      <c r="B63" s="3">
        <v>2</v>
      </c>
      <c r="C63" s="6">
        <v>0.22570000000000001</v>
      </c>
      <c r="D63" s="4" t="s">
        <v>124</v>
      </c>
      <c r="E63" s="3">
        <v>13</v>
      </c>
      <c r="F63" s="3">
        <v>4950</v>
      </c>
      <c r="G63" s="3">
        <v>3</v>
      </c>
      <c r="H63" s="5">
        <v>44328</v>
      </c>
      <c r="I63" s="3">
        <v>0</v>
      </c>
    </row>
    <row r="64" spans="1:9" ht="16.5" customHeight="1">
      <c r="A64" s="3"/>
      <c r="B64" s="3"/>
      <c r="C64" s="6"/>
      <c r="D64" s="4"/>
      <c r="E64" s="3"/>
      <c r="F64" s="3"/>
      <c r="G64" s="3"/>
      <c r="H64" s="5"/>
      <c r="I64" s="3"/>
    </row>
    <row r="65" spans="1:9" ht="21" customHeight="1">
      <c r="A65" s="3" t="s">
        <v>111</v>
      </c>
      <c r="B65" s="3">
        <v>1</v>
      </c>
      <c r="C65" s="6">
        <v>0.161</v>
      </c>
      <c r="D65" s="4" t="s">
        <v>112</v>
      </c>
      <c r="E65" s="3">
        <v>11</v>
      </c>
      <c r="F65" s="3">
        <v>4017</v>
      </c>
      <c r="G65" s="3">
        <v>3</v>
      </c>
      <c r="H65" s="5">
        <v>44202</v>
      </c>
      <c r="I65" s="3">
        <v>0</v>
      </c>
    </row>
    <row r="66" spans="1:9" ht="16.5" customHeight="1">
      <c r="A66" s="3"/>
      <c r="B66" s="3"/>
      <c r="C66" s="6"/>
      <c r="D66" s="4"/>
      <c r="E66" s="3"/>
      <c r="F66" s="3"/>
      <c r="G66" s="3"/>
      <c r="H66" s="5"/>
      <c r="I66" s="3"/>
    </row>
    <row r="67" spans="1:9" ht="21" customHeight="1">
      <c r="A67" s="3" t="s">
        <v>73</v>
      </c>
      <c r="B67" s="3">
        <v>2</v>
      </c>
      <c r="C67" s="6">
        <v>0.38129999999999997</v>
      </c>
      <c r="D67" s="4" t="s">
        <v>74</v>
      </c>
      <c r="E67" s="3">
        <v>9</v>
      </c>
      <c r="F67" s="3">
        <v>2608</v>
      </c>
      <c r="G67" s="3">
        <v>3</v>
      </c>
      <c r="H67" s="5">
        <v>44181</v>
      </c>
      <c r="I67" s="3">
        <v>0</v>
      </c>
    </row>
    <row r="68" spans="1:9" ht="16.5" customHeight="1">
      <c r="A68" s="3"/>
      <c r="B68" s="3"/>
      <c r="C68" s="6"/>
      <c r="D68" s="4"/>
      <c r="E68" s="3"/>
      <c r="F68" s="3"/>
      <c r="G68" s="3"/>
      <c r="H68" s="5"/>
      <c r="I68" s="3"/>
    </row>
    <row r="69" spans="1:9" ht="21" customHeight="1">
      <c r="A69" s="3" t="s">
        <v>197</v>
      </c>
      <c r="B69" s="3">
        <v>2</v>
      </c>
      <c r="C69" s="6">
        <v>0.28160000000000002</v>
      </c>
      <c r="D69" s="4" t="s">
        <v>198</v>
      </c>
      <c r="E69" s="3">
        <v>8</v>
      </c>
      <c r="F69" s="3">
        <v>2922</v>
      </c>
      <c r="G69" s="3">
        <v>3</v>
      </c>
      <c r="H69" s="5">
        <v>43995</v>
      </c>
      <c r="I69" s="3">
        <v>0</v>
      </c>
    </row>
    <row r="70" spans="1:9" ht="16.5" customHeight="1">
      <c r="A70" s="3"/>
      <c r="B70" s="3"/>
      <c r="C70" s="6"/>
      <c r="D70" s="4"/>
      <c r="E70" s="3"/>
      <c r="F70" s="3"/>
      <c r="G70" s="3"/>
      <c r="H70" s="5"/>
      <c r="I70" s="3"/>
    </row>
    <row r="71" spans="1:9" ht="21" customHeight="1">
      <c r="A71" s="3" t="s">
        <v>161</v>
      </c>
      <c r="B71" s="3">
        <v>1</v>
      </c>
      <c r="C71" s="6">
        <v>0.1082</v>
      </c>
      <c r="D71" s="4" t="s">
        <v>162</v>
      </c>
      <c r="E71" s="3">
        <v>8</v>
      </c>
      <c r="F71" s="3">
        <v>4981</v>
      </c>
      <c r="G71" s="3">
        <v>3</v>
      </c>
      <c r="H71" s="5">
        <v>44165</v>
      </c>
      <c r="I71" s="3">
        <v>0</v>
      </c>
    </row>
    <row r="72" spans="1:9" ht="16.5" customHeight="1">
      <c r="A72" s="3"/>
      <c r="B72" s="3"/>
      <c r="C72" s="6"/>
      <c r="D72" s="4"/>
      <c r="E72" s="3"/>
      <c r="F72" s="3"/>
      <c r="G72" s="3"/>
      <c r="H72" s="5"/>
      <c r="I72" s="3"/>
    </row>
    <row r="73" spans="1:9" ht="21" customHeight="1">
      <c r="A73" s="3" t="s">
        <v>97</v>
      </c>
      <c r="B73" s="3">
        <v>2</v>
      </c>
      <c r="C73" s="6">
        <v>0.31009999999999999</v>
      </c>
      <c r="D73" s="4" t="s">
        <v>98</v>
      </c>
      <c r="E73" s="3">
        <v>7</v>
      </c>
      <c r="F73" s="3">
        <v>2267</v>
      </c>
      <c r="G73" s="3">
        <v>3</v>
      </c>
      <c r="H73" s="5">
        <v>44293</v>
      </c>
      <c r="I73" s="3">
        <v>0</v>
      </c>
    </row>
    <row r="74" spans="1:9" ht="16.5" customHeight="1">
      <c r="A74" s="3"/>
      <c r="B74" s="3"/>
      <c r="C74" s="6"/>
      <c r="D74" s="4"/>
      <c r="E74" s="3"/>
      <c r="F74" s="3"/>
      <c r="G74" s="3"/>
      <c r="H74" s="5"/>
      <c r="I74" s="3"/>
    </row>
    <row r="75" spans="1:9" ht="21" customHeight="1">
      <c r="A75" s="3" t="s">
        <v>169</v>
      </c>
      <c r="B75" s="3">
        <v>1</v>
      </c>
      <c r="C75" s="6">
        <v>6.2E-2</v>
      </c>
      <c r="D75" s="4" t="s">
        <v>170</v>
      </c>
      <c r="E75" s="3">
        <v>7</v>
      </c>
      <c r="F75" s="3">
        <v>5923</v>
      </c>
      <c r="G75" s="3">
        <v>3</v>
      </c>
      <c r="H75" s="5">
        <v>44032</v>
      </c>
      <c r="I75" s="3">
        <v>0</v>
      </c>
    </row>
    <row r="76" spans="1:9" ht="16.5" customHeight="1">
      <c r="A76" s="3"/>
      <c r="B76" s="3"/>
      <c r="C76" s="6"/>
      <c r="D76" s="4"/>
      <c r="E76" s="3"/>
      <c r="F76" s="3"/>
      <c r="G76" s="3"/>
      <c r="H76" s="5"/>
      <c r="I76" s="3"/>
    </row>
    <row r="77" spans="1:9" ht="21" customHeight="1">
      <c r="A77" s="3" t="s">
        <v>141</v>
      </c>
      <c r="B77" s="3">
        <v>2</v>
      </c>
      <c r="C77" s="6">
        <v>0.38290000000000002</v>
      </c>
      <c r="D77" s="4" t="s">
        <v>142</v>
      </c>
      <c r="E77" s="3">
        <v>6</v>
      </c>
      <c r="F77" s="3">
        <v>2898</v>
      </c>
      <c r="G77" s="3">
        <v>3</v>
      </c>
      <c r="H77" s="5">
        <v>44265</v>
      </c>
      <c r="I77" s="3">
        <v>0</v>
      </c>
    </row>
    <row r="78" spans="1:9" ht="16.5" customHeight="1">
      <c r="A78" s="3"/>
      <c r="B78" s="3"/>
      <c r="C78" s="6"/>
      <c r="D78" s="4"/>
      <c r="E78" s="3"/>
      <c r="F78" s="3"/>
      <c r="G78" s="3"/>
      <c r="H78" s="5"/>
      <c r="I78" s="3"/>
    </row>
    <row r="79" spans="1:9" ht="21" customHeight="1">
      <c r="A79" s="3" t="s">
        <v>179</v>
      </c>
      <c r="B79" s="3">
        <v>1</v>
      </c>
      <c r="C79" s="6">
        <v>0.24729999999999999</v>
      </c>
      <c r="D79" s="4" t="s">
        <v>180</v>
      </c>
      <c r="E79" s="3">
        <v>6</v>
      </c>
      <c r="F79" s="3">
        <v>2260</v>
      </c>
      <c r="G79" s="3">
        <v>3</v>
      </c>
      <c r="H79" s="5">
        <v>44265</v>
      </c>
      <c r="I79" s="3">
        <v>0</v>
      </c>
    </row>
    <row r="80" spans="1:9" ht="16.5" customHeight="1">
      <c r="A80" s="3"/>
      <c r="B80" s="3"/>
      <c r="C80" s="6"/>
      <c r="D80" s="4"/>
      <c r="E80" s="3"/>
      <c r="F80" s="3"/>
      <c r="G80" s="3"/>
      <c r="H80" s="5"/>
      <c r="I80" s="3"/>
    </row>
    <row r="81" spans="1:9" ht="21" customHeight="1">
      <c r="A81" s="3" t="s">
        <v>107</v>
      </c>
      <c r="B81" s="7"/>
      <c r="C81" s="6">
        <v>7.1599999999999997E-2</v>
      </c>
      <c r="D81" s="4" t="s">
        <v>108</v>
      </c>
      <c r="E81" s="3">
        <v>6</v>
      </c>
      <c r="F81" s="3">
        <v>1836</v>
      </c>
      <c r="G81" s="3">
        <v>3</v>
      </c>
      <c r="H81" s="5">
        <v>44202</v>
      </c>
      <c r="I81" s="3">
        <v>0</v>
      </c>
    </row>
    <row r="82" spans="1:9" ht="16.5" customHeight="1">
      <c r="A82" s="3"/>
      <c r="B82" s="7"/>
      <c r="C82" s="6"/>
      <c r="D82" s="4"/>
      <c r="E82" s="3"/>
      <c r="F82" s="3"/>
      <c r="G82" s="3"/>
      <c r="H82" s="5"/>
      <c r="I82" s="3"/>
    </row>
    <row r="83" spans="1:9" ht="21" customHeight="1">
      <c r="A83" s="3" t="s">
        <v>101</v>
      </c>
      <c r="B83" s="3">
        <v>1</v>
      </c>
      <c r="C83" s="6">
        <v>0.28029999999999999</v>
      </c>
      <c r="D83" s="4" t="s">
        <v>102</v>
      </c>
      <c r="E83" s="3">
        <v>5</v>
      </c>
      <c r="F83" s="3">
        <v>2502</v>
      </c>
      <c r="G83" s="3">
        <v>3</v>
      </c>
      <c r="H83" s="5">
        <v>44214</v>
      </c>
      <c r="I83" s="3">
        <v>0</v>
      </c>
    </row>
    <row r="84" spans="1:9" ht="16.5" customHeight="1">
      <c r="A84" s="3"/>
      <c r="B84" s="3"/>
      <c r="C84" s="6"/>
      <c r="D84" s="4"/>
      <c r="E84" s="3"/>
      <c r="F84" s="3"/>
      <c r="G84" s="3"/>
      <c r="H84" s="5"/>
      <c r="I84" s="3"/>
    </row>
    <row r="85" spans="1:9" ht="21" customHeight="1">
      <c r="A85" s="3" t="s">
        <v>145</v>
      </c>
      <c r="B85" s="3">
        <v>3</v>
      </c>
      <c r="C85" s="6">
        <v>8.7599999999999997E-2</v>
      </c>
      <c r="D85" s="4" t="s">
        <v>146</v>
      </c>
      <c r="E85" s="3">
        <v>51</v>
      </c>
      <c r="F85" s="3">
        <v>3341</v>
      </c>
      <c r="G85" s="3">
        <v>2</v>
      </c>
      <c r="H85" s="5">
        <v>44085</v>
      </c>
      <c r="I85" s="3">
        <v>0</v>
      </c>
    </row>
    <row r="86" spans="1:9" ht="16.5" customHeight="1">
      <c r="A86" s="3"/>
      <c r="B86" s="3"/>
      <c r="C86" s="6"/>
      <c r="D86" s="4"/>
      <c r="E86" s="3"/>
      <c r="F86" s="3"/>
      <c r="G86" s="3"/>
      <c r="H86" s="5"/>
      <c r="I86" s="3"/>
    </row>
    <row r="87" spans="1:9" ht="21" customHeight="1">
      <c r="A87" s="3" t="s">
        <v>79</v>
      </c>
      <c r="B87" s="3">
        <v>3</v>
      </c>
      <c r="C87" s="6">
        <v>0.1089</v>
      </c>
      <c r="D87" s="4" t="s">
        <v>80</v>
      </c>
      <c r="E87" s="3">
        <v>34</v>
      </c>
      <c r="F87" s="3">
        <v>5274</v>
      </c>
      <c r="G87" s="3">
        <v>2</v>
      </c>
      <c r="H87" s="5">
        <v>44146</v>
      </c>
      <c r="I87" s="3">
        <v>0</v>
      </c>
    </row>
    <row r="88" spans="1:9" ht="16.5" customHeight="1">
      <c r="A88" s="3"/>
      <c r="B88" s="3"/>
      <c r="C88" s="6"/>
      <c r="D88" s="4"/>
      <c r="E88" s="3"/>
      <c r="F88" s="3"/>
      <c r="G88" s="3"/>
      <c r="H88" s="5"/>
      <c r="I88" s="3"/>
    </row>
    <row r="89" spans="1:9" ht="21" customHeight="1">
      <c r="A89" s="3" t="s">
        <v>149</v>
      </c>
      <c r="B89" s="3">
        <v>3</v>
      </c>
      <c r="C89" s="6">
        <v>0.16739999999999999</v>
      </c>
      <c r="D89" s="4" t="s">
        <v>150</v>
      </c>
      <c r="E89" s="3">
        <v>33</v>
      </c>
      <c r="F89" s="3">
        <v>3667</v>
      </c>
      <c r="G89" s="3">
        <v>2</v>
      </c>
      <c r="H89" s="5">
        <v>44025</v>
      </c>
      <c r="I89" s="3">
        <v>0</v>
      </c>
    </row>
    <row r="90" spans="1:9" ht="16.5" customHeight="1">
      <c r="A90" s="3"/>
      <c r="B90" s="3"/>
      <c r="C90" s="6"/>
      <c r="D90" s="4"/>
      <c r="E90" s="3"/>
      <c r="F90" s="3"/>
      <c r="G90" s="3"/>
      <c r="H90" s="5"/>
      <c r="I90" s="3"/>
    </row>
    <row r="91" spans="1:9" ht="21" customHeight="1">
      <c r="A91" s="3" t="s">
        <v>155</v>
      </c>
      <c r="B91" s="3">
        <v>3</v>
      </c>
      <c r="C91" s="6">
        <v>0.2084</v>
      </c>
      <c r="D91" s="4" t="s">
        <v>156</v>
      </c>
      <c r="E91" s="3">
        <v>33</v>
      </c>
      <c r="F91" s="3">
        <v>3210</v>
      </c>
      <c r="G91" s="3">
        <v>2</v>
      </c>
      <c r="H91" s="5">
        <v>43995</v>
      </c>
      <c r="I91" s="3">
        <v>0</v>
      </c>
    </row>
    <row r="92" spans="1:9" ht="16.5" customHeight="1">
      <c r="A92" s="3"/>
      <c r="B92" s="3"/>
      <c r="C92" s="6"/>
      <c r="D92" s="4"/>
      <c r="E92" s="3"/>
      <c r="F92" s="3"/>
      <c r="G92" s="3"/>
      <c r="H92" s="5"/>
      <c r="I92" s="3"/>
    </row>
    <row r="93" spans="1:9" ht="24" customHeight="1">
      <c r="A93" s="3" t="s">
        <v>8</v>
      </c>
      <c r="B93" s="3">
        <v>3</v>
      </c>
      <c r="C93" s="6">
        <v>0.25230000000000002</v>
      </c>
      <c r="D93" s="4" t="s">
        <v>9</v>
      </c>
      <c r="E93" s="3">
        <v>32</v>
      </c>
      <c r="F93" s="3">
        <v>3285</v>
      </c>
      <c r="G93" s="3">
        <v>2</v>
      </c>
      <c r="H93" s="5">
        <v>43985</v>
      </c>
      <c r="I93" s="3">
        <v>1</v>
      </c>
    </row>
    <row r="94" spans="1:9" ht="16.5" customHeight="1">
      <c r="A94" s="3"/>
      <c r="B94" s="3"/>
      <c r="C94" s="6"/>
      <c r="D94" s="4"/>
      <c r="E94" s="3"/>
      <c r="F94" s="3"/>
      <c r="G94" s="3"/>
      <c r="H94" s="5"/>
      <c r="I94" s="3"/>
    </row>
    <row r="95" spans="1:9" ht="21" customHeight="1">
      <c r="A95" s="3" t="s">
        <v>175</v>
      </c>
      <c r="B95" s="3">
        <v>3</v>
      </c>
      <c r="C95" s="6">
        <v>0.1996</v>
      </c>
      <c r="D95" s="4" t="s">
        <v>176</v>
      </c>
      <c r="E95" s="3">
        <v>28</v>
      </c>
      <c r="F95" s="3">
        <v>2440</v>
      </c>
      <c r="G95" s="3">
        <v>2</v>
      </c>
      <c r="H95" s="5">
        <v>43936</v>
      </c>
      <c r="I95" s="3">
        <v>0</v>
      </c>
    </row>
    <row r="96" spans="1:9" ht="16.5" customHeight="1">
      <c r="A96" s="3"/>
      <c r="B96" s="3"/>
      <c r="C96" s="6"/>
      <c r="D96" s="4"/>
      <c r="E96" s="3"/>
      <c r="F96" s="3"/>
      <c r="G96" s="3"/>
      <c r="H96" s="5"/>
      <c r="I96" s="3"/>
    </row>
    <row r="97" spans="1:9" ht="21" customHeight="1">
      <c r="A97" s="3" t="s">
        <v>203</v>
      </c>
      <c r="B97" s="3">
        <v>2</v>
      </c>
      <c r="C97" s="6">
        <v>0.19570000000000001</v>
      </c>
      <c r="D97" s="4" t="s">
        <v>204</v>
      </c>
      <c r="E97" s="3">
        <v>25</v>
      </c>
      <c r="F97" s="3">
        <v>2765</v>
      </c>
      <c r="G97" s="3">
        <v>2</v>
      </c>
      <c r="H97" s="5">
        <v>43995</v>
      </c>
      <c r="I97" s="3">
        <v>0</v>
      </c>
    </row>
    <row r="98" spans="1:9" ht="16.5" customHeight="1">
      <c r="A98" s="3"/>
      <c r="B98" s="3"/>
      <c r="C98" s="6"/>
      <c r="D98" s="4"/>
      <c r="E98" s="3"/>
      <c r="F98" s="3"/>
      <c r="G98" s="3"/>
      <c r="H98" s="5"/>
      <c r="I98" s="3"/>
    </row>
    <row r="99" spans="1:9" ht="24" customHeight="1">
      <c r="A99" s="3" t="s">
        <v>20</v>
      </c>
      <c r="B99" s="3">
        <v>3</v>
      </c>
      <c r="C99" s="6">
        <v>0.3014</v>
      </c>
      <c r="D99" s="4" t="s">
        <v>21</v>
      </c>
      <c r="E99" s="3">
        <v>21</v>
      </c>
      <c r="F99" s="3">
        <v>7750</v>
      </c>
      <c r="G99" s="3">
        <v>2</v>
      </c>
      <c r="H99" s="5">
        <v>43584</v>
      </c>
      <c r="I99" s="3">
        <v>0</v>
      </c>
    </row>
    <row r="100" spans="1:9" ht="16.5" customHeight="1">
      <c r="A100" s="3"/>
      <c r="B100" s="3"/>
      <c r="C100" s="6"/>
      <c r="D100" s="4"/>
      <c r="E100" s="3"/>
      <c r="F100" s="3"/>
      <c r="G100" s="3"/>
      <c r="H100" s="5"/>
      <c r="I100" s="3"/>
    </row>
    <row r="101" spans="1:9" ht="21" customHeight="1">
      <c r="A101" s="3" t="s">
        <v>10</v>
      </c>
      <c r="B101" s="3">
        <v>3</v>
      </c>
      <c r="C101" s="6">
        <v>0.1885</v>
      </c>
      <c r="D101" s="4" t="s">
        <v>11</v>
      </c>
      <c r="E101" s="3">
        <v>18</v>
      </c>
      <c r="F101" s="3">
        <v>15437</v>
      </c>
      <c r="G101" s="3">
        <v>2</v>
      </c>
      <c r="H101" s="5">
        <v>44025</v>
      </c>
      <c r="I101" s="3">
        <v>1</v>
      </c>
    </row>
    <row r="102" spans="1:9" ht="16.5" customHeight="1">
      <c r="A102" s="3"/>
      <c r="B102" s="3"/>
      <c r="C102" s="6"/>
      <c r="D102" s="4"/>
      <c r="E102" s="3"/>
      <c r="F102" s="3"/>
      <c r="G102" s="3"/>
      <c r="H102" s="5"/>
      <c r="I102" s="3"/>
    </row>
    <row r="103" spans="1:9" ht="21" customHeight="1">
      <c r="A103" s="3" t="s">
        <v>199</v>
      </c>
      <c r="B103" s="3">
        <v>2</v>
      </c>
      <c r="C103" s="6">
        <v>0.2087</v>
      </c>
      <c r="D103" s="4" t="s">
        <v>200</v>
      </c>
      <c r="E103" s="3">
        <v>18</v>
      </c>
      <c r="F103" s="3">
        <v>5248</v>
      </c>
      <c r="G103" s="3">
        <v>2</v>
      </c>
      <c r="H103" s="5">
        <v>44125</v>
      </c>
      <c r="I103" s="3">
        <v>0</v>
      </c>
    </row>
    <row r="104" spans="1:9" ht="16.5" customHeight="1">
      <c r="A104" s="3"/>
      <c r="B104" s="3"/>
      <c r="C104" s="6"/>
      <c r="D104" s="4"/>
      <c r="E104" s="3"/>
      <c r="F104" s="3"/>
      <c r="G104" s="3"/>
      <c r="H104" s="5"/>
      <c r="I104" s="3"/>
    </row>
    <row r="105" spans="1:9" ht="21" customHeight="1">
      <c r="A105" s="3" t="s">
        <v>63</v>
      </c>
      <c r="B105" s="3">
        <v>3</v>
      </c>
      <c r="C105" s="6">
        <v>0.56879999999999997</v>
      </c>
      <c r="D105" s="4" t="s">
        <v>64</v>
      </c>
      <c r="E105" s="3">
        <v>15</v>
      </c>
      <c r="F105" s="3">
        <v>3501</v>
      </c>
      <c r="G105" s="3">
        <v>2</v>
      </c>
      <c r="H105" s="5">
        <v>43817</v>
      </c>
      <c r="I105" s="3">
        <v>1</v>
      </c>
    </row>
    <row r="106" spans="1:9" ht="16.5" customHeight="1">
      <c r="A106" s="3"/>
      <c r="B106" s="3"/>
      <c r="C106" s="6"/>
      <c r="D106" s="4"/>
      <c r="E106" s="3"/>
      <c r="F106" s="3"/>
      <c r="G106" s="3"/>
      <c r="H106" s="5"/>
      <c r="I106" s="3"/>
    </row>
    <row r="107" spans="1:9" ht="21" customHeight="1">
      <c r="A107" s="3" t="s">
        <v>16</v>
      </c>
      <c r="B107" s="3">
        <v>3</v>
      </c>
      <c r="C107" s="6">
        <v>0.3039</v>
      </c>
      <c r="D107" s="4" t="s">
        <v>17</v>
      </c>
      <c r="E107" s="3">
        <v>13</v>
      </c>
      <c r="F107" s="3">
        <v>8187</v>
      </c>
      <c r="G107" s="3">
        <v>2</v>
      </c>
      <c r="H107" s="5">
        <v>43995</v>
      </c>
      <c r="I107" s="3">
        <v>0</v>
      </c>
    </row>
    <row r="108" spans="1:9" ht="16.5" customHeight="1">
      <c r="A108" s="3"/>
      <c r="B108" s="3"/>
      <c r="C108" s="6"/>
      <c r="D108" s="4"/>
      <c r="E108" s="3"/>
      <c r="F108" s="3"/>
      <c r="G108" s="3"/>
      <c r="H108" s="5"/>
      <c r="I108" s="3"/>
    </row>
    <row r="109" spans="1:9" ht="21" customHeight="1">
      <c r="A109" s="3" t="s">
        <v>81</v>
      </c>
      <c r="B109" s="3">
        <v>2</v>
      </c>
      <c r="C109" s="6">
        <v>0.21640000000000001</v>
      </c>
      <c r="D109" s="4" t="s">
        <v>82</v>
      </c>
      <c r="E109" s="3">
        <v>13</v>
      </c>
      <c r="F109" s="3">
        <v>8807</v>
      </c>
      <c r="G109" s="3">
        <v>2</v>
      </c>
      <c r="H109" s="5">
        <v>44085</v>
      </c>
      <c r="I109" s="3">
        <v>0</v>
      </c>
    </row>
    <row r="110" spans="1:9" ht="16.5" customHeight="1">
      <c r="A110" s="3"/>
      <c r="B110" s="3"/>
      <c r="C110" s="6"/>
      <c r="D110" s="4"/>
      <c r="E110" s="3"/>
      <c r="F110" s="3"/>
      <c r="G110" s="3"/>
      <c r="H110" s="5"/>
      <c r="I110" s="3"/>
    </row>
    <row r="111" spans="1:9" ht="21" customHeight="1">
      <c r="A111" s="3" t="s">
        <v>69</v>
      </c>
      <c r="B111" s="3">
        <v>1</v>
      </c>
      <c r="C111" s="6">
        <v>0.1885</v>
      </c>
      <c r="D111" s="4" t="s">
        <v>70</v>
      </c>
      <c r="E111" s="3">
        <v>13</v>
      </c>
      <c r="F111" s="3">
        <v>1999</v>
      </c>
      <c r="G111" s="3">
        <v>2</v>
      </c>
      <c r="H111" s="5">
        <v>44013</v>
      </c>
      <c r="I111" s="3">
        <v>0</v>
      </c>
    </row>
    <row r="112" spans="1:9" ht="16.5" customHeight="1">
      <c r="A112" s="3"/>
      <c r="B112" s="3"/>
      <c r="C112" s="6"/>
      <c r="D112" s="4"/>
      <c r="E112" s="3"/>
      <c r="F112" s="3"/>
      <c r="G112" s="3"/>
      <c r="H112" s="5"/>
      <c r="I112" s="3"/>
    </row>
    <row r="113" spans="1:9" ht="21" customHeight="1">
      <c r="A113" s="3" t="s">
        <v>213</v>
      </c>
      <c r="B113" s="3">
        <v>3</v>
      </c>
      <c r="C113" s="6">
        <v>0.378</v>
      </c>
      <c r="D113" s="4" t="s">
        <v>214</v>
      </c>
      <c r="E113" s="3">
        <v>12</v>
      </c>
      <c r="F113" s="3">
        <v>6780</v>
      </c>
      <c r="G113" s="3">
        <v>2</v>
      </c>
      <c r="H113" s="5">
        <v>44078</v>
      </c>
      <c r="I113" s="3">
        <v>1</v>
      </c>
    </row>
    <row r="114" spans="1:9" ht="16.5" customHeight="1">
      <c r="A114" s="3"/>
      <c r="B114" s="3"/>
      <c r="C114" s="6"/>
      <c r="D114" s="4"/>
      <c r="E114" s="3"/>
      <c r="F114" s="3"/>
      <c r="G114" s="3"/>
      <c r="H114" s="5"/>
      <c r="I114" s="3"/>
    </row>
    <row r="115" spans="1:9" ht="21" customHeight="1">
      <c r="A115" s="3" t="s">
        <v>57</v>
      </c>
      <c r="B115" s="3">
        <v>2</v>
      </c>
      <c r="C115" s="6">
        <v>0.25109999999999999</v>
      </c>
      <c r="D115" s="4" t="s">
        <v>58</v>
      </c>
      <c r="E115" s="3">
        <v>12</v>
      </c>
      <c r="F115" s="3">
        <v>2555</v>
      </c>
      <c r="G115" s="3">
        <v>2</v>
      </c>
      <c r="H115" s="5">
        <v>43971</v>
      </c>
      <c r="I115" s="3">
        <v>0</v>
      </c>
    </row>
    <row r="116" spans="1:9" ht="16.5" customHeight="1">
      <c r="A116" s="3"/>
      <c r="B116" s="3"/>
      <c r="C116" s="6"/>
      <c r="D116" s="4"/>
      <c r="E116" s="3"/>
      <c r="F116" s="3"/>
      <c r="G116" s="3"/>
      <c r="H116" s="5"/>
      <c r="I116" s="3"/>
    </row>
    <row r="117" spans="1:9" ht="21" customHeight="1">
      <c r="A117" s="3" t="s">
        <v>207</v>
      </c>
      <c r="B117" s="3">
        <v>3</v>
      </c>
      <c r="C117" s="6">
        <v>0.58720000000000006</v>
      </c>
      <c r="D117" s="4" t="s">
        <v>208</v>
      </c>
      <c r="E117" s="3">
        <v>11</v>
      </c>
      <c r="F117" s="3">
        <v>4164</v>
      </c>
      <c r="G117" s="3">
        <v>2</v>
      </c>
      <c r="H117" s="5">
        <v>44165</v>
      </c>
      <c r="I117" s="3">
        <v>1</v>
      </c>
    </row>
    <row r="118" spans="1:9" ht="16.5" customHeight="1">
      <c r="A118" s="3"/>
      <c r="B118" s="3"/>
      <c r="C118" s="6"/>
      <c r="D118" s="4"/>
      <c r="E118" s="3"/>
      <c r="F118" s="3"/>
      <c r="G118" s="3"/>
      <c r="H118" s="5"/>
      <c r="I118" s="3"/>
    </row>
    <row r="119" spans="1:9" ht="21" customHeight="1">
      <c r="A119" s="3" t="s">
        <v>61</v>
      </c>
      <c r="B119" s="3">
        <v>2</v>
      </c>
      <c r="C119" s="6">
        <v>0.25009999999999999</v>
      </c>
      <c r="D119" s="4" t="s">
        <v>62</v>
      </c>
      <c r="E119" s="3">
        <v>11</v>
      </c>
      <c r="F119" s="3">
        <v>6359</v>
      </c>
      <c r="G119" s="3">
        <v>2</v>
      </c>
      <c r="H119" s="5">
        <v>43754</v>
      </c>
      <c r="I119" s="3">
        <v>0</v>
      </c>
    </row>
    <row r="120" spans="1:9" ht="16.5" customHeight="1">
      <c r="A120" s="3"/>
      <c r="B120" s="3"/>
      <c r="C120" s="6"/>
      <c r="D120" s="4"/>
      <c r="E120" s="3"/>
      <c r="F120" s="3"/>
      <c r="G120" s="3"/>
      <c r="H120" s="5"/>
      <c r="I120" s="3"/>
    </row>
    <row r="121" spans="1:9" ht="21" customHeight="1">
      <c r="A121" s="3" t="s">
        <v>48</v>
      </c>
      <c r="B121" s="3">
        <v>2</v>
      </c>
      <c r="C121" s="6">
        <v>0.2281</v>
      </c>
      <c r="D121" s="4" t="s">
        <v>49</v>
      </c>
      <c r="E121" s="3">
        <v>9</v>
      </c>
      <c r="F121" s="3">
        <v>4799</v>
      </c>
      <c r="G121" s="3">
        <v>2</v>
      </c>
      <c r="H121" s="5">
        <v>44277</v>
      </c>
      <c r="I121" s="3">
        <v>0</v>
      </c>
    </row>
    <row r="122" spans="1:9" ht="16.5" customHeight="1">
      <c r="A122" s="3"/>
      <c r="B122" s="3"/>
      <c r="C122" s="6"/>
      <c r="D122" s="4"/>
      <c r="E122" s="3"/>
      <c r="F122" s="3"/>
      <c r="G122" s="3"/>
      <c r="H122" s="5"/>
      <c r="I122" s="3"/>
    </row>
    <row r="123" spans="1:9" ht="21" customHeight="1">
      <c r="A123" s="3" t="s">
        <v>89</v>
      </c>
      <c r="B123" s="3">
        <v>2</v>
      </c>
      <c r="C123" s="6">
        <v>0.318</v>
      </c>
      <c r="D123" s="4" t="s">
        <v>90</v>
      </c>
      <c r="E123" s="3">
        <v>9</v>
      </c>
      <c r="F123" s="3">
        <v>3184</v>
      </c>
      <c r="G123" s="3">
        <v>2</v>
      </c>
      <c r="H123" s="5">
        <v>43985</v>
      </c>
      <c r="I123" s="3">
        <v>0</v>
      </c>
    </row>
    <row r="124" spans="1:9" ht="16.5" customHeight="1">
      <c r="A124" s="3"/>
      <c r="B124" s="3"/>
      <c r="C124" s="6"/>
      <c r="D124" s="4"/>
      <c r="E124" s="3"/>
      <c r="F124" s="3"/>
      <c r="G124" s="3"/>
      <c r="H124" s="5"/>
      <c r="I124" s="3"/>
    </row>
    <row r="125" spans="1:9" ht="21" customHeight="1">
      <c r="A125" s="3" t="s">
        <v>93</v>
      </c>
      <c r="B125" s="3">
        <v>2</v>
      </c>
      <c r="C125" s="6">
        <v>0.3604</v>
      </c>
      <c r="D125" s="4" t="s">
        <v>94</v>
      </c>
      <c r="E125" s="3">
        <v>9</v>
      </c>
      <c r="F125" s="3">
        <v>2175</v>
      </c>
      <c r="G125" s="3">
        <v>2</v>
      </c>
      <c r="H125" s="5">
        <v>43985</v>
      </c>
      <c r="I125" s="3">
        <v>0</v>
      </c>
    </row>
    <row r="126" spans="1:9" ht="16.5" customHeight="1">
      <c r="A126" s="3"/>
      <c r="B126" s="3"/>
      <c r="C126" s="6"/>
      <c r="D126" s="4"/>
      <c r="E126" s="3"/>
      <c r="F126" s="3"/>
      <c r="G126" s="3"/>
      <c r="H126" s="5"/>
      <c r="I126" s="3"/>
    </row>
    <row r="127" spans="1:9" ht="21" customHeight="1">
      <c r="A127" s="3" t="s">
        <v>99</v>
      </c>
      <c r="B127" s="3">
        <v>1</v>
      </c>
      <c r="C127" s="6">
        <v>0.18260000000000001</v>
      </c>
      <c r="D127" s="4" t="s">
        <v>100</v>
      </c>
      <c r="E127" s="3">
        <v>9</v>
      </c>
      <c r="F127" s="3">
        <v>2865</v>
      </c>
      <c r="G127" s="3">
        <v>2</v>
      </c>
      <c r="H127" s="5">
        <v>44277</v>
      </c>
      <c r="I127" s="3">
        <v>0</v>
      </c>
    </row>
    <row r="128" spans="1:9" ht="16.5" customHeight="1">
      <c r="A128" s="3"/>
      <c r="B128" s="3"/>
      <c r="C128" s="6"/>
      <c r="D128" s="4"/>
      <c r="E128" s="3"/>
      <c r="F128" s="3"/>
      <c r="G128" s="3"/>
      <c r="H128" s="5"/>
      <c r="I128" s="3"/>
    </row>
    <row r="129" spans="1:9" ht="21" customHeight="1">
      <c r="A129" s="3" t="s">
        <v>201</v>
      </c>
      <c r="B129" s="3">
        <v>3</v>
      </c>
      <c r="C129" s="6">
        <v>0.49759999999999999</v>
      </c>
      <c r="D129" s="4" t="s">
        <v>202</v>
      </c>
      <c r="E129" s="3">
        <v>8</v>
      </c>
      <c r="F129" s="3">
        <v>2125</v>
      </c>
      <c r="G129" s="3">
        <v>2</v>
      </c>
      <c r="H129" s="5">
        <v>44025</v>
      </c>
      <c r="I129" s="3">
        <v>0</v>
      </c>
    </row>
    <row r="130" spans="1:9" ht="16.5" customHeight="1">
      <c r="A130" s="3"/>
      <c r="B130" s="3"/>
      <c r="C130" s="6"/>
      <c r="D130" s="4"/>
      <c r="E130" s="3"/>
      <c r="F130" s="3"/>
      <c r="G130" s="3"/>
      <c r="H130" s="5"/>
      <c r="I130" s="3"/>
    </row>
    <row r="131" spans="1:9" ht="21" customHeight="1">
      <c r="A131" s="3" t="s">
        <v>165</v>
      </c>
      <c r="B131" s="7"/>
      <c r="C131" s="6">
        <v>1.4E-2</v>
      </c>
      <c r="D131" s="4" t="s">
        <v>166</v>
      </c>
      <c r="E131" s="3">
        <v>8</v>
      </c>
      <c r="F131" s="3">
        <v>2454</v>
      </c>
      <c r="G131" s="3">
        <v>2</v>
      </c>
      <c r="H131" s="5">
        <v>44146</v>
      </c>
      <c r="I131" s="3">
        <v>0</v>
      </c>
    </row>
    <row r="132" spans="1:9" ht="16.5" customHeight="1">
      <c r="A132" s="3"/>
      <c r="B132" s="7"/>
      <c r="C132" s="6"/>
      <c r="D132" s="4"/>
      <c r="E132" s="3"/>
      <c r="F132" s="3"/>
      <c r="G132" s="3"/>
      <c r="H132" s="5"/>
      <c r="I132" s="3"/>
    </row>
    <row r="133" spans="1:9" ht="21" customHeight="1">
      <c r="A133" s="3" t="s">
        <v>28</v>
      </c>
      <c r="B133" s="3">
        <v>2</v>
      </c>
      <c r="C133" s="6">
        <v>0.28339999999999999</v>
      </c>
      <c r="D133" s="4" t="s">
        <v>29</v>
      </c>
      <c r="E133" s="3">
        <v>7</v>
      </c>
      <c r="F133" s="3">
        <v>5020</v>
      </c>
      <c r="G133" s="3">
        <v>2</v>
      </c>
      <c r="H133" s="5">
        <v>44125</v>
      </c>
      <c r="I133" s="3">
        <v>0</v>
      </c>
    </row>
    <row r="134" spans="1:9" ht="16.5" customHeight="1">
      <c r="A134" s="3"/>
      <c r="B134" s="3"/>
      <c r="C134" s="6"/>
      <c r="D134" s="4"/>
      <c r="E134" s="3"/>
      <c r="F134" s="3"/>
      <c r="G134" s="3"/>
      <c r="H134" s="5"/>
      <c r="I134" s="3"/>
    </row>
    <row r="135" spans="1:9" ht="21" customHeight="1">
      <c r="A135" s="3" t="s">
        <v>127</v>
      </c>
      <c r="B135" s="3">
        <v>2</v>
      </c>
      <c r="C135" s="6">
        <v>0.30680000000000002</v>
      </c>
      <c r="D135" s="4" t="s">
        <v>128</v>
      </c>
      <c r="E135" s="3">
        <v>7</v>
      </c>
      <c r="F135" s="3">
        <v>2777</v>
      </c>
      <c r="G135" s="3">
        <v>2</v>
      </c>
      <c r="H135" s="5">
        <v>44328</v>
      </c>
      <c r="I135" s="3">
        <v>0</v>
      </c>
    </row>
    <row r="136" spans="1:9" ht="16.5" customHeight="1">
      <c r="A136" s="3"/>
      <c r="B136" s="3"/>
      <c r="C136" s="6"/>
      <c r="D136" s="4"/>
      <c r="E136" s="3"/>
      <c r="F136" s="3"/>
      <c r="G136" s="3"/>
      <c r="H136" s="5"/>
      <c r="I136" s="3"/>
    </row>
    <row r="137" spans="1:9" ht="21" customHeight="1">
      <c r="A137" s="3" t="s">
        <v>167</v>
      </c>
      <c r="B137" s="3">
        <v>2</v>
      </c>
      <c r="C137" s="6">
        <v>0.26679999999999998</v>
      </c>
      <c r="D137" s="4" t="s">
        <v>168</v>
      </c>
      <c r="E137" s="3">
        <v>7</v>
      </c>
      <c r="F137" s="3">
        <v>2451</v>
      </c>
      <c r="G137" s="3">
        <v>2</v>
      </c>
      <c r="H137" s="5">
        <v>43985</v>
      </c>
      <c r="I137" s="3">
        <v>0</v>
      </c>
    </row>
    <row r="138" spans="1:9" ht="16.5" customHeight="1">
      <c r="A138" s="3"/>
      <c r="B138" s="3"/>
      <c r="C138" s="6"/>
      <c r="D138" s="4"/>
      <c r="E138" s="3"/>
      <c r="F138" s="3"/>
      <c r="G138" s="3"/>
      <c r="H138" s="5"/>
      <c r="I138" s="3"/>
    </row>
    <row r="139" spans="1:9" ht="21" customHeight="1">
      <c r="A139" s="3" t="s">
        <v>38</v>
      </c>
      <c r="B139" s="3">
        <v>2</v>
      </c>
      <c r="C139" s="6">
        <v>0.25519999999999998</v>
      </c>
      <c r="D139" s="4" t="s">
        <v>39</v>
      </c>
      <c r="E139" s="3">
        <v>5</v>
      </c>
      <c r="F139" s="3">
        <v>8262</v>
      </c>
      <c r="G139" s="3">
        <v>2</v>
      </c>
      <c r="H139" s="5">
        <v>43971</v>
      </c>
      <c r="I139" s="3">
        <v>0</v>
      </c>
    </row>
    <row r="140" spans="1:9" ht="16.5" customHeight="1">
      <c r="A140" s="3"/>
      <c r="B140" s="3"/>
      <c r="C140" s="6"/>
      <c r="D140" s="4"/>
      <c r="E140" s="3"/>
      <c r="F140" s="3"/>
      <c r="G140" s="3"/>
      <c r="H140" s="5"/>
      <c r="I140" s="3"/>
    </row>
    <row r="141" spans="1:9" ht="21" customHeight="1">
      <c r="A141" s="3" t="s">
        <v>77</v>
      </c>
      <c r="B141" s="3">
        <v>2</v>
      </c>
      <c r="C141" s="6">
        <v>0.44440000000000002</v>
      </c>
      <c r="D141" s="4" t="s">
        <v>78</v>
      </c>
      <c r="E141" s="3">
        <v>4</v>
      </c>
      <c r="F141" s="3">
        <v>1410</v>
      </c>
      <c r="G141" s="3">
        <v>2</v>
      </c>
      <c r="H141" s="5">
        <v>44293</v>
      </c>
      <c r="I141" s="3">
        <v>0</v>
      </c>
    </row>
    <row r="142" spans="1:9" ht="16.5" customHeight="1">
      <c r="A142" s="3"/>
      <c r="B142" s="3"/>
      <c r="C142" s="6"/>
      <c r="D142" s="4"/>
      <c r="E142" s="3"/>
      <c r="F142" s="3"/>
      <c r="G142" s="3"/>
      <c r="H142" s="5"/>
      <c r="I142" s="3"/>
    </row>
    <row r="143" spans="1:9" ht="21" customHeight="1">
      <c r="A143" s="3" t="s">
        <v>139</v>
      </c>
      <c r="B143" s="7"/>
      <c r="C143" s="6">
        <v>0.11840000000000001</v>
      </c>
      <c r="D143" s="4" t="s">
        <v>140</v>
      </c>
      <c r="E143" s="3">
        <v>4</v>
      </c>
      <c r="F143" s="3">
        <v>644</v>
      </c>
      <c r="G143" s="3">
        <v>2</v>
      </c>
      <c r="H143" s="5">
        <v>43971</v>
      </c>
      <c r="I143" s="3">
        <v>0</v>
      </c>
    </row>
    <row r="144" spans="1:9" ht="16.5" customHeight="1">
      <c r="A144" s="3"/>
      <c r="B144" s="7"/>
      <c r="C144" s="6"/>
      <c r="D144" s="4"/>
      <c r="E144" s="3"/>
      <c r="F144" s="3"/>
      <c r="G144" s="3"/>
      <c r="H144" s="5"/>
      <c r="I144" s="3"/>
    </row>
    <row r="145" spans="1:9" ht="21" customHeight="1">
      <c r="A145" s="3" t="s">
        <v>113</v>
      </c>
      <c r="B145" s="3">
        <v>1</v>
      </c>
      <c r="C145" s="6">
        <v>0.26479999999999998</v>
      </c>
      <c r="D145" s="4" t="s">
        <v>114</v>
      </c>
      <c r="E145" s="3">
        <v>3</v>
      </c>
      <c r="F145" s="3">
        <v>1722</v>
      </c>
      <c r="G145" s="3">
        <v>2</v>
      </c>
      <c r="H145" s="5">
        <v>44265</v>
      </c>
      <c r="I145" s="3">
        <v>0</v>
      </c>
    </row>
    <row r="146" spans="1:9" ht="16.5" customHeight="1">
      <c r="A146" s="3"/>
      <c r="B146" s="3"/>
      <c r="C146" s="6"/>
      <c r="D146" s="4"/>
      <c r="E146" s="3"/>
      <c r="F146" s="3"/>
      <c r="G146" s="3"/>
      <c r="H146" s="5"/>
      <c r="I146" s="3"/>
    </row>
    <row r="147" spans="1:9" ht="21" customHeight="1">
      <c r="A147" s="3" t="s">
        <v>44</v>
      </c>
      <c r="B147" s="7"/>
      <c r="C147" s="6">
        <v>8.3000000000000004E-2</v>
      </c>
      <c r="D147" s="4" t="s">
        <v>45</v>
      </c>
      <c r="E147" s="3">
        <v>3</v>
      </c>
      <c r="F147" s="3">
        <v>1672</v>
      </c>
      <c r="G147" s="3">
        <v>2</v>
      </c>
      <c r="H147" s="5">
        <v>43829</v>
      </c>
      <c r="I147" s="3">
        <v>0</v>
      </c>
    </row>
    <row r="148" spans="1:9" ht="16.5" customHeight="1">
      <c r="A148" s="3"/>
      <c r="B148" s="7"/>
      <c r="C148" s="6"/>
      <c r="D148" s="4"/>
      <c r="E148" s="3"/>
      <c r="F148" s="3"/>
      <c r="G148" s="3"/>
      <c r="H148" s="5"/>
      <c r="I148" s="3"/>
    </row>
    <row r="149" spans="1:9" ht="21" customHeight="1">
      <c r="A149" s="3" t="s">
        <v>75</v>
      </c>
      <c r="B149" s="7"/>
      <c r="C149" s="6">
        <v>0.1739</v>
      </c>
      <c r="D149" s="4" t="s">
        <v>76</v>
      </c>
      <c r="E149" s="3">
        <v>3</v>
      </c>
      <c r="F149" s="3">
        <v>953</v>
      </c>
      <c r="G149" s="3">
        <v>2</v>
      </c>
      <c r="H149" s="5">
        <v>44146</v>
      </c>
      <c r="I149" s="3">
        <v>0</v>
      </c>
    </row>
    <row r="150" spans="1:9" ht="16.5" customHeight="1">
      <c r="A150" s="3"/>
      <c r="B150" s="7"/>
      <c r="C150" s="6"/>
      <c r="D150" s="4"/>
      <c r="E150" s="3"/>
      <c r="F150" s="3"/>
      <c r="G150" s="3"/>
      <c r="H150" s="5"/>
      <c r="I150" s="3"/>
    </row>
    <row r="151" spans="1:9" ht="21" customHeight="1">
      <c r="A151" s="3" t="s">
        <v>87</v>
      </c>
      <c r="B151" s="7"/>
      <c r="C151" s="6">
        <v>0.16669999999999999</v>
      </c>
      <c r="D151" s="4" t="s">
        <v>88</v>
      </c>
      <c r="E151" s="3">
        <v>3</v>
      </c>
      <c r="F151" s="3">
        <v>675</v>
      </c>
      <c r="G151" s="3">
        <v>2</v>
      </c>
      <c r="H151" s="5">
        <v>44277</v>
      </c>
      <c r="I151" s="3">
        <v>0</v>
      </c>
    </row>
    <row r="152" spans="1:9" ht="16.5" customHeight="1">
      <c r="A152" s="3"/>
      <c r="B152" s="7"/>
      <c r="C152" s="6"/>
      <c r="D152" s="4"/>
      <c r="E152" s="3"/>
      <c r="F152" s="3"/>
      <c r="G152" s="3"/>
      <c r="H152" s="5"/>
      <c r="I152" s="3"/>
    </row>
    <row r="153" spans="1:9" ht="21" customHeight="1">
      <c r="A153" s="3" t="s">
        <v>95</v>
      </c>
      <c r="B153" s="7"/>
      <c r="C153" s="6">
        <v>0.1731</v>
      </c>
      <c r="D153" s="4" t="s">
        <v>96</v>
      </c>
      <c r="E153" s="3">
        <v>2</v>
      </c>
      <c r="F153" s="3">
        <v>668</v>
      </c>
      <c r="G153" s="3">
        <v>2</v>
      </c>
      <c r="H153" s="5">
        <v>44165</v>
      </c>
      <c r="I153" s="3">
        <v>0</v>
      </c>
    </row>
    <row r="154" spans="1:9" ht="16.5" customHeight="1">
      <c r="A154" s="3"/>
      <c r="B154" s="7"/>
      <c r="C154" s="6"/>
      <c r="D154" s="4"/>
      <c r="E154" s="3"/>
      <c r="F154" s="3"/>
      <c r="G154" s="3"/>
      <c r="H154" s="5"/>
      <c r="I154" s="3"/>
    </row>
    <row r="155" spans="1:9" ht="21" customHeight="1">
      <c r="A155" s="3" t="s">
        <v>115</v>
      </c>
      <c r="B155" s="7"/>
      <c r="C155" s="6">
        <v>4.8099999999999997E-2</v>
      </c>
      <c r="D155" s="4" t="s">
        <v>116</v>
      </c>
      <c r="E155" s="3">
        <v>2</v>
      </c>
      <c r="F155" s="3">
        <v>746</v>
      </c>
      <c r="G155" s="3">
        <v>2</v>
      </c>
      <c r="H155" s="5">
        <v>44265</v>
      </c>
      <c r="I155" s="3">
        <v>0</v>
      </c>
    </row>
    <row r="156" spans="1:9" ht="16.5" customHeight="1">
      <c r="A156" s="3"/>
      <c r="B156" s="7"/>
      <c r="C156" s="6"/>
      <c r="D156" s="4"/>
      <c r="E156" s="3"/>
      <c r="F156" s="3"/>
      <c r="G156" s="3"/>
      <c r="H156" s="5"/>
      <c r="I156" s="3"/>
    </row>
    <row r="157" spans="1:9" ht="21" customHeight="1">
      <c r="A157" s="3" t="s">
        <v>218</v>
      </c>
      <c r="B157" s="7"/>
      <c r="C157" s="6">
        <v>0.1656</v>
      </c>
      <c r="D157" s="4" t="s">
        <v>219</v>
      </c>
      <c r="E157" s="3">
        <v>2</v>
      </c>
      <c r="F157" s="3">
        <v>2641</v>
      </c>
      <c r="G157" s="3">
        <v>2</v>
      </c>
      <c r="H157" s="5">
        <v>44181</v>
      </c>
      <c r="I157" s="3">
        <v>0</v>
      </c>
    </row>
    <row r="158" spans="1:9" ht="16.5" customHeight="1">
      <c r="A158" s="3"/>
      <c r="B158" s="7"/>
      <c r="C158" s="6"/>
      <c r="D158" s="4"/>
      <c r="E158" s="3"/>
      <c r="F158" s="3"/>
      <c r="G158" s="3"/>
      <c r="H158" s="5"/>
      <c r="I158" s="3"/>
    </row>
    <row r="159" spans="1:9" ht="21" customHeight="1">
      <c r="A159" s="3" t="s">
        <v>50</v>
      </c>
      <c r="B159" s="3">
        <v>2</v>
      </c>
      <c r="C159" s="6">
        <v>0.1258</v>
      </c>
      <c r="D159" s="4" t="s">
        <v>51</v>
      </c>
      <c r="E159" s="3">
        <v>27</v>
      </c>
      <c r="F159" s="3">
        <v>5190</v>
      </c>
      <c r="G159" s="3">
        <v>1</v>
      </c>
      <c r="H159" s="5">
        <v>44146</v>
      </c>
      <c r="I159" s="3">
        <v>0</v>
      </c>
    </row>
    <row r="160" spans="1:9" ht="16.5" customHeight="1">
      <c r="A160" s="3"/>
      <c r="B160" s="3"/>
      <c r="C160" s="6"/>
      <c r="D160" s="4"/>
      <c r="E160" s="3"/>
      <c r="F160" s="3"/>
      <c r="G160" s="3"/>
      <c r="H160" s="5"/>
      <c r="I160" s="3"/>
    </row>
    <row r="161" spans="1:9" ht="21" customHeight="1">
      <c r="A161" s="3" t="s">
        <v>137</v>
      </c>
      <c r="B161" s="3">
        <v>2</v>
      </c>
      <c r="C161" s="6">
        <v>0.19539999999999999</v>
      </c>
      <c r="D161" s="4" t="s">
        <v>138</v>
      </c>
      <c r="E161" s="3">
        <v>22</v>
      </c>
      <c r="F161" s="3">
        <v>2994</v>
      </c>
      <c r="G161" s="3">
        <v>1</v>
      </c>
      <c r="H161" s="5">
        <v>43661</v>
      </c>
      <c r="I161" s="3">
        <v>0</v>
      </c>
    </row>
    <row r="162" spans="1:9" ht="16.5" customHeight="1">
      <c r="A162" s="3"/>
      <c r="B162" s="3"/>
      <c r="C162" s="6"/>
      <c r="D162" s="4"/>
      <c r="E162" s="3"/>
      <c r="F162" s="3"/>
      <c r="G162" s="3"/>
      <c r="H162" s="5"/>
      <c r="I162" s="3"/>
    </row>
    <row r="163" spans="1:9" ht="21" customHeight="1">
      <c r="A163" s="3" t="s">
        <v>14</v>
      </c>
      <c r="B163" s="3">
        <v>3</v>
      </c>
      <c r="C163" s="6">
        <v>0.15390000000000001</v>
      </c>
      <c r="D163" s="4" t="s">
        <v>15</v>
      </c>
      <c r="E163" s="3">
        <v>21</v>
      </c>
      <c r="F163" s="3">
        <v>10939</v>
      </c>
      <c r="G163" s="3">
        <v>1</v>
      </c>
      <c r="H163" s="5">
        <v>43957</v>
      </c>
      <c r="I163" s="3">
        <v>0</v>
      </c>
    </row>
    <row r="164" spans="1:9" ht="16.5" customHeight="1">
      <c r="A164" s="3"/>
      <c r="B164" s="3"/>
      <c r="C164" s="6"/>
      <c r="D164" s="4"/>
      <c r="E164" s="3"/>
      <c r="F164" s="3"/>
      <c r="G164" s="3"/>
      <c r="H164" s="5"/>
      <c r="I164" s="3"/>
    </row>
    <row r="165" spans="1:9" ht="21" customHeight="1">
      <c r="A165" s="3" t="s">
        <v>177</v>
      </c>
      <c r="B165" s="3">
        <v>2</v>
      </c>
      <c r="C165" s="6">
        <v>0.14399999999999999</v>
      </c>
      <c r="D165" s="4" t="s">
        <v>178</v>
      </c>
      <c r="E165" s="3">
        <v>18</v>
      </c>
      <c r="F165" s="3">
        <v>4334</v>
      </c>
      <c r="G165" s="3">
        <v>1</v>
      </c>
      <c r="H165" s="5">
        <v>44111</v>
      </c>
      <c r="I165" s="3">
        <v>0</v>
      </c>
    </row>
    <row r="166" spans="1:9" ht="16.5" customHeight="1">
      <c r="A166" s="3"/>
      <c r="B166" s="3"/>
      <c r="C166" s="6"/>
      <c r="D166" s="4"/>
      <c r="E166" s="3"/>
      <c r="F166" s="3"/>
      <c r="G166" s="3"/>
      <c r="H166" s="5"/>
      <c r="I166" s="3"/>
    </row>
    <row r="167" spans="1:9" ht="21" customHeight="1">
      <c r="A167" s="3" t="s">
        <v>65</v>
      </c>
      <c r="B167" s="3">
        <v>2</v>
      </c>
      <c r="C167" s="6">
        <v>0.1807</v>
      </c>
      <c r="D167" s="4" t="s">
        <v>66</v>
      </c>
      <c r="E167" s="3">
        <v>17</v>
      </c>
      <c r="F167" s="3">
        <v>4286</v>
      </c>
      <c r="G167" s="3">
        <v>1</v>
      </c>
      <c r="H167" s="5">
        <v>43614</v>
      </c>
      <c r="I167" s="3">
        <v>0</v>
      </c>
    </row>
    <row r="168" spans="1:9" ht="16.5" customHeight="1">
      <c r="A168" s="3"/>
      <c r="B168" s="3"/>
      <c r="C168" s="6"/>
      <c r="D168" s="4"/>
      <c r="E168" s="3"/>
      <c r="F168" s="3"/>
      <c r="G168" s="3"/>
      <c r="H168" s="5"/>
      <c r="I168" s="3"/>
    </row>
    <row r="169" spans="1:9" ht="21" customHeight="1">
      <c r="A169" s="3" t="s">
        <v>131</v>
      </c>
      <c r="B169" s="3">
        <v>3</v>
      </c>
      <c r="C169" s="6">
        <v>0.2382</v>
      </c>
      <c r="D169" s="4" t="s">
        <v>132</v>
      </c>
      <c r="E169" s="3">
        <v>16</v>
      </c>
      <c r="F169" s="3">
        <v>12697</v>
      </c>
      <c r="G169" s="3">
        <v>1</v>
      </c>
      <c r="H169" s="5">
        <v>43714</v>
      </c>
      <c r="I169" s="3">
        <v>0</v>
      </c>
    </row>
    <row r="170" spans="1:9" ht="16.5" customHeight="1">
      <c r="A170" s="3"/>
      <c r="B170" s="3"/>
      <c r="C170" s="6"/>
      <c r="D170" s="4"/>
      <c r="E170" s="3"/>
      <c r="F170" s="3"/>
      <c r="G170" s="3"/>
      <c r="H170" s="5"/>
      <c r="I170" s="3"/>
    </row>
    <row r="171" spans="1:9" ht="21" customHeight="1">
      <c r="A171" s="3" t="s">
        <v>133</v>
      </c>
      <c r="B171" s="3">
        <v>1</v>
      </c>
      <c r="C171" s="6">
        <v>0.13600000000000001</v>
      </c>
      <c r="D171" s="4" t="s">
        <v>134</v>
      </c>
      <c r="E171" s="3">
        <v>16</v>
      </c>
      <c r="F171" s="3">
        <v>1891</v>
      </c>
      <c r="G171" s="3">
        <v>1</v>
      </c>
      <c r="H171" s="5">
        <v>44312</v>
      </c>
      <c r="I171" s="3">
        <v>0</v>
      </c>
    </row>
    <row r="172" spans="1:9" ht="16.5" customHeight="1">
      <c r="A172" s="3"/>
      <c r="B172" s="3"/>
      <c r="C172" s="6"/>
      <c r="D172" s="4"/>
      <c r="E172" s="3"/>
      <c r="F172" s="3"/>
      <c r="G172" s="3"/>
      <c r="H172" s="5"/>
      <c r="I172" s="3"/>
    </row>
    <row r="173" spans="1:9" ht="21" customHeight="1">
      <c r="A173" s="3" t="s">
        <v>32</v>
      </c>
      <c r="B173" s="3">
        <v>2</v>
      </c>
      <c r="C173" s="6">
        <v>0.2107</v>
      </c>
      <c r="D173" s="4" t="s">
        <v>33</v>
      </c>
      <c r="E173" s="3">
        <v>13</v>
      </c>
      <c r="F173" s="3">
        <v>3358</v>
      </c>
      <c r="G173" s="3">
        <v>1</v>
      </c>
      <c r="H173" s="5">
        <v>43957</v>
      </c>
      <c r="I173" s="3">
        <v>0</v>
      </c>
    </row>
    <row r="174" spans="1:9" ht="16.5" customHeight="1">
      <c r="A174" s="3"/>
      <c r="B174" s="3"/>
      <c r="C174" s="6"/>
      <c r="D174" s="4"/>
      <c r="E174" s="3"/>
      <c r="F174" s="3"/>
      <c r="G174" s="3"/>
      <c r="H174" s="5"/>
      <c r="I174" s="3"/>
    </row>
    <row r="175" spans="1:9" ht="21" customHeight="1">
      <c r="A175" s="3" t="s">
        <v>135</v>
      </c>
      <c r="B175" s="3">
        <v>2</v>
      </c>
      <c r="C175" s="6">
        <v>0.13159999999999999</v>
      </c>
      <c r="D175" s="4" t="s">
        <v>136</v>
      </c>
      <c r="E175" s="3">
        <v>12</v>
      </c>
      <c r="F175" s="3">
        <v>9119</v>
      </c>
      <c r="G175" s="3">
        <v>1</v>
      </c>
      <c r="H175" s="5">
        <v>43999</v>
      </c>
      <c r="I175" s="3">
        <v>0</v>
      </c>
    </row>
    <row r="176" spans="1:9" ht="16.5" customHeight="1">
      <c r="A176" s="3"/>
      <c r="B176" s="3"/>
      <c r="C176" s="6"/>
      <c r="D176" s="4"/>
      <c r="E176" s="3"/>
      <c r="F176" s="3"/>
      <c r="G176" s="3"/>
      <c r="H176" s="5"/>
      <c r="I176" s="3"/>
    </row>
    <row r="177" spans="1:9" ht="21" customHeight="1">
      <c r="A177" s="3" t="s">
        <v>195</v>
      </c>
      <c r="B177" s="3">
        <v>2</v>
      </c>
      <c r="C177" s="6">
        <v>0.20169999999999999</v>
      </c>
      <c r="D177" s="4" t="s">
        <v>196</v>
      </c>
      <c r="E177" s="3">
        <v>12</v>
      </c>
      <c r="F177" s="3">
        <v>4256</v>
      </c>
      <c r="G177" s="3">
        <v>1</v>
      </c>
      <c r="H177" s="5">
        <v>43971</v>
      </c>
      <c r="I177" s="3">
        <v>0</v>
      </c>
    </row>
    <row r="178" spans="1:9" ht="16.5" customHeight="1">
      <c r="A178" s="3"/>
      <c r="B178" s="3"/>
      <c r="C178" s="6"/>
      <c r="D178" s="4"/>
      <c r="E178" s="3"/>
      <c r="F178" s="3"/>
      <c r="G178" s="3"/>
      <c r="H178" s="5"/>
      <c r="I178" s="3"/>
    </row>
    <row r="179" spans="1:9" ht="21" customHeight="1">
      <c r="A179" s="3" t="s">
        <v>209</v>
      </c>
      <c r="B179" s="3">
        <v>2</v>
      </c>
      <c r="C179" s="6">
        <v>0.23960000000000001</v>
      </c>
      <c r="D179" s="4" t="s">
        <v>210</v>
      </c>
      <c r="E179" s="3">
        <v>12</v>
      </c>
      <c r="F179" s="3">
        <v>6889</v>
      </c>
      <c r="G179" s="3">
        <v>1</v>
      </c>
      <c r="H179" s="5">
        <v>43668</v>
      </c>
      <c r="I179" s="3">
        <v>0</v>
      </c>
    </row>
    <row r="180" spans="1:9" ht="16.5" customHeight="1">
      <c r="A180" s="3"/>
      <c r="B180" s="3"/>
      <c r="C180" s="6"/>
      <c r="D180" s="4"/>
      <c r="E180" s="3"/>
      <c r="F180" s="3"/>
      <c r="G180" s="3"/>
      <c r="H180" s="5"/>
      <c r="I180" s="3"/>
    </row>
    <row r="181" spans="1:9" ht="21" customHeight="1">
      <c r="A181" s="3" t="s">
        <v>18</v>
      </c>
      <c r="B181" s="3">
        <v>2</v>
      </c>
      <c r="C181" s="6">
        <v>0.17030000000000001</v>
      </c>
      <c r="D181" s="4" t="s">
        <v>19</v>
      </c>
      <c r="E181" s="3">
        <v>11</v>
      </c>
      <c r="F181" s="3">
        <v>11384</v>
      </c>
      <c r="G181" s="3">
        <v>1</v>
      </c>
      <c r="H181" s="5">
        <v>43528</v>
      </c>
      <c r="I181" s="3">
        <v>0</v>
      </c>
    </row>
    <row r="182" spans="1:9" ht="16.5" customHeight="1">
      <c r="A182" s="3"/>
      <c r="B182" s="3"/>
      <c r="C182" s="6"/>
      <c r="D182" s="4"/>
      <c r="E182" s="3"/>
      <c r="F182" s="3"/>
      <c r="G182" s="3"/>
      <c r="H182" s="5"/>
      <c r="I182" s="3"/>
    </row>
    <row r="183" spans="1:9" ht="21" customHeight="1">
      <c r="A183" s="3" t="s">
        <v>185</v>
      </c>
      <c r="B183" s="3">
        <v>2</v>
      </c>
      <c r="C183" s="6">
        <v>0.311</v>
      </c>
      <c r="D183" s="4" t="s">
        <v>186</v>
      </c>
      <c r="E183" s="3">
        <v>11</v>
      </c>
      <c r="F183" s="3">
        <v>5026</v>
      </c>
      <c r="G183" s="3">
        <v>1</v>
      </c>
      <c r="H183" s="5">
        <v>44328</v>
      </c>
      <c r="I183" s="3">
        <v>0</v>
      </c>
    </row>
    <row r="184" spans="1:9" ht="16.5" customHeight="1">
      <c r="A184" s="3"/>
      <c r="B184" s="3"/>
      <c r="C184" s="6"/>
      <c r="D184" s="4"/>
      <c r="E184" s="3"/>
      <c r="F184" s="3"/>
      <c r="G184" s="3"/>
      <c r="H184" s="5"/>
      <c r="I184" s="3"/>
    </row>
    <row r="185" spans="1:9" ht="21" customHeight="1">
      <c r="A185" s="3" t="s">
        <v>26</v>
      </c>
      <c r="B185" s="3">
        <v>1</v>
      </c>
      <c r="C185" s="6">
        <v>0.14749999999999999</v>
      </c>
      <c r="D185" s="4" t="s">
        <v>27</v>
      </c>
      <c r="E185" s="3">
        <v>11</v>
      </c>
      <c r="F185" s="3">
        <v>4332</v>
      </c>
      <c r="G185" s="3">
        <v>1</v>
      </c>
      <c r="H185" s="5">
        <v>43803</v>
      </c>
      <c r="I185" s="3">
        <v>0</v>
      </c>
    </row>
    <row r="186" spans="1:9" ht="16.5" customHeight="1">
      <c r="A186" s="3"/>
      <c r="B186" s="3"/>
      <c r="C186" s="6"/>
      <c r="D186" s="4"/>
      <c r="E186" s="3"/>
      <c r="F186" s="3"/>
      <c r="G186" s="3"/>
      <c r="H186" s="5"/>
      <c r="I186" s="3"/>
    </row>
    <row r="187" spans="1:9" ht="21" customHeight="1">
      <c r="A187" s="3" t="s">
        <v>34</v>
      </c>
      <c r="B187" s="3">
        <v>1</v>
      </c>
      <c r="C187" s="6">
        <v>0.11550000000000001</v>
      </c>
      <c r="D187" s="4" t="s">
        <v>35</v>
      </c>
      <c r="E187" s="3">
        <v>11</v>
      </c>
      <c r="F187" s="3">
        <v>5001</v>
      </c>
      <c r="G187" s="3">
        <v>1</v>
      </c>
      <c r="H187" s="5">
        <v>43908</v>
      </c>
      <c r="I187" s="3">
        <v>0</v>
      </c>
    </row>
    <row r="188" spans="1:9" ht="16.5" customHeight="1">
      <c r="A188" s="3"/>
      <c r="B188" s="3"/>
      <c r="C188" s="6"/>
      <c r="D188" s="4"/>
      <c r="E188" s="3"/>
      <c r="F188" s="3"/>
      <c r="G188" s="3"/>
      <c r="H188" s="5"/>
      <c r="I188" s="3"/>
    </row>
    <row r="189" spans="1:9" ht="16.5" customHeight="1">
      <c r="A189" s="3" t="s">
        <v>36</v>
      </c>
      <c r="B189" s="3">
        <v>2</v>
      </c>
      <c r="C189" s="6">
        <v>0.25669999999999998</v>
      </c>
      <c r="D189" s="4" t="s">
        <v>37</v>
      </c>
      <c r="E189" s="3">
        <v>10</v>
      </c>
      <c r="F189" s="3">
        <v>2806</v>
      </c>
      <c r="G189" s="3">
        <v>1</v>
      </c>
      <c r="H189" s="5">
        <v>44181</v>
      </c>
      <c r="I189" s="3">
        <v>0</v>
      </c>
    </row>
    <row r="190" spans="1:9" ht="16.5" customHeight="1">
      <c r="A190" s="3"/>
      <c r="B190" s="3"/>
      <c r="C190" s="6"/>
      <c r="D190" s="4"/>
      <c r="E190" s="3"/>
      <c r="F190" s="3"/>
      <c r="G190" s="3"/>
      <c r="H190" s="5"/>
      <c r="I190" s="3"/>
    </row>
    <row r="191" spans="1:9" ht="16.5" customHeight="1">
      <c r="A191" s="3" t="s">
        <v>59</v>
      </c>
      <c r="B191" s="3">
        <v>2</v>
      </c>
      <c r="C191" s="6">
        <v>0.28050000000000003</v>
      </c>
      <c r="D191" s="4" t="s">
        <v>60</v>
      </c>
      <c r="E191" s="3">
        <v>8</v>
      </c>
      <c r="F191" s="3">
        <v>3451</v>
      </c>
      <c r="G191" s="3">
        <v>1</v>
      </c>
      <c r="H191" s="5">
        <v>43985</v>
      </c>
      <c r="I191" s="3">
        <v>0</v>
      </c>
    </row>
    <row r="192" spans="1:9" ht="16.5" customHeight="1">
      <c r="A192" s="3"/>
      <c r="B192" s="3"/>
      <c r="C192" s="6"/>
      <c r="D192" s="4"/>
      <c r="E192" s="3"/>
      <c r="F192" s="3"/>
      <c r="G192" s="3"/>
      <c r="H192" s="5"/>
      <c r="I192" s="3"/>
    </row>
    <row r="193" spans="1:9" ht="16.5" customHeight="1">
      <c r="A193" s="3" t="s">
        <v>193</v>
      </c>
      <c r="B193" s="3">
        <v>2</v>
      </c>
      <c r="C193" s="6">
        <v>0.43559999999999999</v>
      </c>
      <c r="D193" s="4" t="s">
        <v>194</v>
      </c>
      <c r="E193" s="3">
        <v>7</v>
      </c>
      <c r="F193" s="3">
        <v>1735</v>
      </c>
      <c r="G193" s="3">
        <v>1</v>
      </c>
      <c r="H193" s="5">
        <v>43936</v>
      </c>
      <c r="I193" s="3">
        <v>0</v>
      </c>
    </row>
    <row r="194" spans="1:9" ht="16.5" customHeight="1">
      <c r="A194" s="3"/>
      <c r="B194" s="3"/>
      <c r="C194" s="6"/>
      <c r="D194" s="4"/>
      <c r="E194" s="3"/>
      <c r="F194" s="3"/>
      <c r="G194" s="3"/>
      <c r="H194" s="5"/>
      <c r="I194" s="3"/>
    </row>
    <row r="195" spans="1:9" ht="16.5" customHeight="1">
      <c r="A195" s="3" t="s">
        <v>40</v>
      </c>
      <c r="B195" s="3">
        <v>2</v>
      </c>
      <c r="C195" s="6">
        <v>0.1648</v>
      </c>
      <c r="D195" s="4" t="s">
        <v>41</v>
      </c>
      <c r="E195" s="3">
        <v>6</v>
      </c>
      <c r="F195" s="3">
        <v>8554</v>
      </c>
      <c r="G195" s="3">
        <v>1</v>
      </c>
      <c r="H195" s="5">
        <v>44032</v>
      </c>
      <c r="I195" s="3">
        <v>0</v>
      </c>
    </row>
    <row r="196" spans="1:9" ht="16.5" customHeight="1">
      <c r="A196" s="3"/>
      <c r="B196" s="3"/>
      <c r="C196" s="6"/>
      <c r="D196" s="4"/>
      <c r="E196" s="3"/>
      <c r="F196" s="3"/>
      <c r="G196" s="3"/>
      <c r="H196" s="5"/>
      <c r="I196" s="3"/>
    </row>
    <row r="197" spans="1:9" ht="16.5" customHeight="1">
      <c r="A197" s="3" t="s">
        <v>12</v>
      </c>
      <c r="B197" s="3">
        <v>1</v>
      </c>
      <c r="C197" s="6">
        <v>0.10539999999999999</v>
      </c>
      <c r="D197" s="4" t="s">
        <v>13</v>
      </c>
      <c r="E197" s="3">
        <v>6</v>
      </c>
      <c r="F197" s="3">
        <v>7591</v>
      </c>
      <c r="G197" s="3">
        <v>1</v>
      </c>
      <c r="H197" s="5">
        <v>43936</v>
      </c>
      <c r="I197" s="3">
        <v>1</v>
      </c>
    </row>
    <row r="198" spans="1:9" ht="16.5" customHeight="1">
      <c r="A198" s="3"/>
      <c r="B198" s="3"/>
      <c r="C198" s="6"/>
      <c r="D198" s="4"/>
      <c r="E198" s="3"/>
      <c r="F198" s="3"/>
      <c r="G198" s="3"/>
      <c r="H198" s="5"/>
      <c r="I198" s="3"/>
    </row>
    <row r="199" spans="1:9" ht="16.5" customHeight="1">
      <c r="A199" s="3" t="s">
        <v>159</v>
      </c>
      <c r="B199" s="3">
        <v>1</v>
      </c>
      <c r="C199" s="6">
        <v>0.11550000000000001</v>
      </c>
      <c r="D199" s="4" t="s">
        <v>160</v>
      </c>
      <c r="E199" s="3">
        <v>6</v>
      </c>
      <c r="F199" s="3">
        <v>3954</v>
      </c>
      <c r="G199" s="3">
        <v>1</v>
      </c>
      <c r="H199" s="5">
        <v>43936</v>
      </c>
      <c r="I199" s="3">
        <v>0</v>
      </c>
    </row>
    <row r="200" spans="1:9" ht="16.5" customHeight="1">
      <c r="A200" s="3"/>
      <c r="B200" s="3"/>
      <c r="C200" s="6"/>
      <c r="D200" s="4"/>
      <c r="E200" s="3"/>
      <c r="F200" s="3"/>
      <c r="G200" s="3"/>
      <c r="H200" s="5"/>
      <c r="I200" s="3"/>
    </row>
    <row r="201" spans="1:9" ht="16.5" customHeight="1">
      <c r="A201" s="3" t="s">
        <v>52</v>
      </c>
      <c r="B201" s="7"/>
      <c r="C201" s="6">
        <v>0.1198</v>
      </c>
      <c r="D201" s="4" t="s">
        <v>53</v>
      </c>
      <c r="E201" s="3">
        <v>5</v>
      </c>
      <c r="F201" s="3">
        <v>2452</v>
      </c>
      <c r="G201" s="3">
        <v>1</v>
      </c>
      <c r="H201" s="5">
        <v>43544</v>
      </c>
      <c r="I201" s="3">
        <v>0</v>
      </c>
    </row>
    <row r="202" spans="1:9" ht="16.5" customHeight="1">
      <c r="A202" s="3"/>
      <c r="B202" s="7"/>
      <c r="C202" s="6"/>
      <c r="D202" s="4"/>
      <c r="E202" s="3"/>
      <c r="F202" s="3"/>
      <c r="G202" s="3"/>
      <c r="H202" s="5"/>
      <c r="I202" s="3"/>
    </row>
    <row r="203" spans="1:9" ht="21" customHeight="1">
      <c r="A203" s="3" t="s">
        <v>22</v>
      </c>
      <c r="B203" s="3">
        <v>2</v>
      </c>
      <c r="C203" s="6">
        <v>0.37569999999999998</v>
      </c>
      <c r="D203" s="4" t="s">
        <v>23</v>
      </c>
      <c r="E203" s="3">
        <v>3</v>
      </c>
      <c r="F203" s="3">
        <v>3395</v>
      </c>
      <c r="G203" s="3">
        <v>1</v>
      </c>
      <c r="H203" s="5">
        <v>44214</v>
      </c>
      <c r="I203" s="3">
        <v>0</v>
      </c>
    </row>
    <row r="204" spans="1:9" ht="16.5" customHeight="1">
      <c r="A204" s="3"/>
      <c r="B204" s="3"/>
      <c r="C204" s="6"/>
      <c r="D204" s="4"/>
      <c r="E204" s="3"/>
      <c r="F204" s="3"/>
      <c r="G204" s="3"/>
      <c r="H204" s="5"/>
      <c r="I204" s="3"/>
    </row>
    <row r="205" spans="1:9" ht="16.5" customHeight="1">
      <c r="A205" s="3" t="s">
        <v>103</v>
      </c>
      <c r="B205" s="3">
        <v>1</v>
      </c>
      <c r="C205" s="6">
        <v>0.26850000000000002</v>
      </c>
      <c r="D205" s="4" t="s">
        <v>104</v>
      </c>
      <c r="E205" s="3">
        <v>3</v>
      </c>
      <c r="F205" s="3">
        <v>1362</v>
      </c>
      <c r="G205" s="3">
        <v>1</v>
      </c>
      <c r="H205" s="5">
        <v>43528</v>
      </c>
      <c r="I205" s="3">
        <v>0</v>
      </c>
    </row>
    <row r="206" spans="1:9" ht="16.5" customHeight="1">
      <c r="A206" s="3"/>
      <c r="B206" s="3"/>
      <c r="C206" s="6"/>
      <c r="D206" s="4"/>
      <c r="E206" s="3"/>
      <c r="F206" s="3"/>
      <c r="G206" s="3"/>
      <c r="H206" s="5"/>
      <c r="I206" s="3"/>
    </row>
    <row r="207" spans="1:9" ht="16.5" customHeight="1">
      <c r="A207" s="3" t="s">
        <v>30</v>
      </c>
      <c r="B207" s="7"/>
      <c r="C207" s="8">
        <v>0</v>
      </c>
      <c r="D207" s="4" t="s">
        <v>31</v>
      </c>
      <c r="E207" s="3">
        <v>3</v>
      </c>
      <c r="F207" s="3">
        <v>3071</v>
      </c>
      <c r="G207" s="3">
        <v>1</v>
      </c>
      <c r="H207" s="5">
        <v>43740</v>
      </c>
      <c r="I207" s="3">
        <v>0</v>
      </c>
    </row>
    <row r="208" spans="1:9" ht="16.5" customHeight="1">
      <c r="A208" s="3"/>
      <c r="B208" s="7"/>
      <c r="C208" s="8"/>
      <c r="D208" s="4"/>
      <c r="E208" s="3"/>
      <c r="F208" s="3"/>
      <c r="G208" s="3"/>
      <c r="H208" s="5"/>
      <c r="I208" s="3"/>
    </row>
    <row r="209" spans="1:9" ht="16.5" customHeight="1">
      <c r="A209" s="3" t="s">
        <v>109</v>
      </c>
      <c r="B209" s="3">
        <v>2</v>
      </c>
      <c r="C209" s="8">
        <v>0.4</v>
      </c>
      <c r="D209" s="4" t="s">
        <v>110</v>
      </c>
      <c r="E209" s="3">
        <v>2</v>
      </c>
      <c r="F209" s="3">
        <v>599</v>
      </c>
      <c r="G209" s="3">
        <v>1</v>
      </c>
      <c r="H209" s="5">
        <v>43829</v>
      </c>
      <c r="I209" s="3">
        <v>0</v>
      </c>
    </row>
    <row r="210" spans="1:9" ht="16.5" customHeight="1">
      <c r="A210" s="3"/>
      <c r="B210" s="3"/>
      <c r="C210" s="8"/>
      <c r="D210" s="4"/>
      <c r="E210" s="3"/>
      <c r="F210" s="3"/>
      <c r="G210" s="3"/>
      <c r="H210" s="5"/>
      <c r="I210" s="3"/>
    </row>
    <row r="211" spans="1:9" ht="16.5" customHeight="1">
      <c r="A211" s="3" t="s">
        <v>119</v>
      </c>
      <c r="B211" s="7"/>
      <c r="C211" s="8">
        <v>0</v>
      </c>
      <c r="D211" s="4" t="s">
        <v>120</v>
      </c>
      <c r="E211" s="3">
        <v>2</v>
      </c>
      <c r="F211" s="3">
        <v>205</v>
      </c>
      <c r="G211" s="3">
        <v>1</v>
      </c>
      <c r="H211" s="5">
        <v>43668</v>
      </c>
      <c r="I211" s="3">
        <v>0</v>
      </c>
    </row>
    <row r="212" spans="1:9" ht="16.5" customHeight="1">
      <c r="A212" s="3"/>
      <c r="B212" s="7"/>
      <c r="C212" s="8"/>
      <c r="D212" s="4"/>
      <c r="E212" s="3"/>
      <c r="F212" s="3"/>
      <c r="G212" s="3"/>
      <c r="H212" s="5"/>
      <c r="I212" s="3"/>
    </row>
    <row r="213" spans="1:9" ht="16.5" customHeight="1">
      <c r="A213" s="3" t="s">
        <v>143</v>
      </c>
      <c r="B213" s="3">
        <v>2</v>
      </c>
      <c r="C213" s="6">
        <v>0.42859999999999998</v>
      </c>
      <c r="D213" s="4" t="s">
        <v>144</v>
      </c>
      <c r="E213" s="3">
        <v>1</v>
      </c>
      <c r="F213" s="3">
        <v>921</v>
      </c>
      <c r="G213" s="3">
        <v>1</v>
      </c>
      <c r="H213" s="5">
        <v>43626</v>
      </c>
      <c r="I213" s="3">
        <v>0</v>
      </c>
    </row>
    <row r="214" spans="1:9" ht="16.5" customHeight="1">
      <c r="A214" s="3"/>
      <c r="B214" s="3"/>
      <c r="C214" s="6"/>
      <c r="D214" s="4"/>
      <c r="E214" s="3"/>
      <c r="F214" s="3"/>
      <c r="G214" s="3"/>
      <c r="H214" s="5"/>
      <c r="I214" s="3"/>
    </row>
    <row r="215" spans="1:9" ht="16.5" customHeight="1">
      <c r="A215" s="3" t="s">
        <v>117</v>
      </c>
      <c r="B215" s="3">
        <v>1</v>
      </c>
      <c r="C215" s="6">
        <v>0.34379999999999999</v>
      </c>
      <c r="D215" s="4" t="s">
        <v>118</v>
      </c>
      <c r="E215" s="3">
        <v>1</v>
      </c>
      <c r="F215" s="3">
        <v>444</v>
      </c>
      <c r="G215" s="3">
        <v>1</v>
      </c>
      <c r="H215" s="5">
        <v>43544</v>
      </c>
      <c r="I215" s="3">
        <v>0</v>
      </c>
    </row>
    <row r="216" spans="1:9" ht="16.5" customHeight="1">
      <c r="A216" s="3"/>
      <c r="B216" s="3"/>
      <c r="C216" s="6"/>
      <c r="D216" s="4"/>
      <c r="E216" s="3"/>
      <c r="F216" s="3"/>
      <c r="G216" s="3"/>
      <c r="H216" s="5"/>
      <c r="I216" s="3"/>
    </row>
    <row r="217" spans="1:9" ht="16.5" customHeight="1"/>
    <row r="218" spans="1:9" ht="16.5" customHeight="1"/>
    <row r="219" spans="1:9" ht="16.5" customHeight="1"/>
    <row r="220" spans="1:9" ht="16.5" customHeight="1"/>
    <row r="221" spans="1:9" ht="16.5" customHeight="1"/>
    <row r="222" spans="1:9" ht="16.5" customHeight="1"/>
    <row r="223" spans="1:9" ht="16.5" customHeight="1"/>
    <row r="224" spans="1:9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</sheetData>
  <autoFilter ref="A1:I216" xr:uid="{DB34C744-4366-43EF-B90C-A462B6A9762F}">
    <sortState xmlns:xlrd2="http://schemas.microsoft.com/office/spreadsheetml/2017/richdata2" ref="A5:I216">
      <sortCondition descending="1" ref="G1:G216"/>
    </sortState>
  </autoFilter>
  <mergeCells count="976">
    <mergeCell ref="G215:G216"/>
    <mergeCell ref="H215:H216"/>
    <mergeCell ref="I215:I216"/>
    <mergeCell ref="A215:A216"/>
    <mergeCell ref="B215:B216"/>
    <mergeCell ref="C215:C216"/>
    <mergeCell ref="D215:D216"/>
    <mergeCell ref="E215:E216"/>
    <mergeCell ref="F215:F216"/>
    <mergeCell ref="I211:I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C211:C212"/>
    <mergeCell ref="D211:D212"/>
    <mergeCell ref="E211:E212"/>
    <mergeCell ref="F211:F212"/>
    <mergeCell ref="G211:G212"/>
    <mergeCell ref="H211:H212"/>
    <mergeCell ref="B211:B212"/>
    <mergeCell ref="I207:I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H207:H208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A203:A204"/>
    <mergeCell ref="B203:B204"/>
    <mergeCell ref="C203:C204"/>
    <mergeCell ref="D203:D204"/>
    <mergeCell ref="E203:E204"/>
    <mergeCell ref="F203:F204"/>
    <mergeCell ref="G203:G204"/>
    <mergeCell ref="A201:A202"/>
    <mergeCell ref="B201:B202"/>
    <mergeCell ref="C201:C202"/>
    <mergeCell ref="D201:D202"/>
    <mergeCell ref="E201:E202"/>
    <mergeCell ref="F201:F202"/>
    <mergeCell ref="H203:H204"/>
    <mergeCell ref="I203:I204"/>
    <mergeCell ref="I193:I194"/>
    <mergeCell ref="A195:A196"/>
    <mergeCell ref="C195:C196"/>
    <mergeCell ref="I195:I196"/>
    <mergeCell ref="C197:C198"/>
    <mergeCell ref="I197:I198"/>
    <mergeCell ref="H185:H186"/>
    <mergeCell ref="I185:I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H193:H194"/>
    <mergeCell ref="B195:B196"/>
    <mergeCell ref="D195:D196"/>
    <mergeCell ref="E195:E196"/>
    <mergeCell ref="F195:F196"/>
    <mergeCell ref="G195:G196"/>
    <mergeCell ref="H195:H196"/>
    <mergeCell ref="H197:H198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C193:C194"/>
    <mergeCell ref="H189:H190"/>
    <mergeCell ref="E191:E192"/>
    <mergeCell ref="F191:F192"/>
    <mergeCell ref="G191:G192"/>
    <mergeCell ref="H191:H192"/>
    <mergeCell ref="A189:A190"/>
    <mergeCell ref="B189:B190"/>
    <mergeCell ref="D189:D190"/>
    <mergeCell ref="E189:E190"/>
    <mergeCell ref="F189:F190"/>
    <mergeCell ref="G189:G190"/>
    <mergeCell ref="F185:F186"/>
    <mergeCell ref="G185:G186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I173:I174"/>
    <mergeCell ref="A175:A176"/>
    <mergeCell ref="C175:C176"/>
    <mergeCell ref="I175:I176"/>
    <mergeCell ref="A177:A178"/>
    <mergeCell ref="B177:B178"/>
    <mergeCell ref="C177:C178"/>
    <mergeCell ref="D177:D178"/>
    <mergeCell ref="E177:E178"/>
    <mergeCell ref="A173:A174"/>
    <mergeCell ref="F177:F178"/>
    <mergeCell ref="G177:G178"/>
    <mergeCell ref="H177:H178"/>
    <mergeCell ref="I177:I178"/>
    <mergeCell ref="H173:H174"/>
    <mergeCell ref="B175:B176"/>
    <mergeCell ref="D175:D176"/>
    <mergeCell ref="E175:E176"/>
    <mergeCell ref="F175:F176"/>
    <mergeCell ref="G175:G176"/>
    <mergeCell ref="H175:H176"/>
    <mergeCell ref="B173:B174"/>
    <mergeCell ref="D173:D174"/>
    <mergeCell ref="E173:E174"/>
    <mergeCell ref="I169:I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B169:B170"/>
    <mergeCell ref="C169:C170"/>
    <mergeCell ref="D169:D170"/>
    <mergeCell ref="E169:E170"/>
    <mergeCell ref="F169:F170"/>
    <mergeCell ref="G169:G170"/>
    <mergeCell ref="I163:I164"/>
    <mergeCell ref="A165:A166"/>
    <mergeCell ref="C165:C166"/>
    <mergeCell ref="I165:I166"/>
    <mergeCell ref="C167:C168"/>
    <mergeCell ref="I167:I168"/>
    <mergeCell ref="C155:C156"/>
    <mergeCell ref="I155:I156"/>
    <mergeCell ref="A157:A158"/>
    <mergeCell ref="C157:C158"/>
    <mergeCell ref="I157:I158"/>
    <mergeCell ref="C159:C160"/>
    <mergeCell ref="I159:I160"/>
    <mergeCell ref="H167:H168"/>
    <mergeCell ref="A167:A168"/>
    <mergeCell ref="B167:B168"/>
    <mergeCell ref="D167:D168"/>
    <mergeCell ref="E167:E168"/>
    <mergeCell ref="F167:F168"/>
    <mergeCell ref="G167:G168"/>
    <mergeCell ref="H163:H164"/>
    <mergeCell ref="B165:B166"/>
    <mergeCell ref="D165:D166"/>
    <mergeCell ref="H159:H160"/>
    <mergeCell ref="G151:G152"/>
    <mergeCell ref="H151:H152"/>
    <mergeCell ref="I151:I152"/>
    <mergeCell ref="A153:A154"/>
    <mergeCell ref="B153:B154"/>
    <mergeCell ref="C153:C154"/>
    <mergeCell ref="D153:D154"/>
    <mergeCell ref="E153:E154"/>
    <mergeCell ref="F153:F154"/>
    <mergeCell ref="G153:G154"/>
    <mergeCell ref="A151:A152"/>
    <mergeCell ref="B151:B152"/>
    <mergeCell ref="C151:C152"/>
    <mergeCell ref="D151:D152"/>
    <mergeCell ref="E151:E152"/>
    <mergeCell ref="F151:F152"/>
    <mergeCell ref="H147:H148"/>
    <mergeCell ref="I147:I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B147:B148"/>
    <mergeCell ref="C147:C148"/>
    <mergeCell ref="D147:D148"/>
    <mergeCell ref="E147:E148"/>
    <mergeCell ref="F147:F148"/>
    <mergeCell ref="G147:G148"/>
    <mergeCell ref="D145:D146"/>
    <mergeCell ref="E145:E146"/>
    <mergeCell ref="F145:F146"/>
    <mergeCell ref="G145:G146"/>
    <mergeCell ref="H145:H146"/>
    <mergeCell ref="I145:I146"/>
    <mergeCell ref="H141:H142"/>
    <mergeCell ref="I141:I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39:I140"/>
    <mergeCell ref="A141:A142"/>
    <mergeCell ref="B141:B142"/>
    <mergeCell ref="C141:C142"/>
    <mergeCell ref="D141:D142"/>
    <mergeCell ref="E141:E142"/>
    <mergeCell ref="F141:F142"/>
    <mergeCell ref="G141:G142"/>
    <mergeCell ref="A139:A140"/>
    <mergeCell ref="B139:B140"/>
    <mergeCell ref="C139:C140"/>
    <mergeCell ref="D139:D140"/>
    <mergeCell ref="E139:E140"/>
    <mergeCell ref="F139:F140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G139:G140"/>
    <mergeCell ref="H139:H140"/>
    <mergeCell ref="E133:E134"/>
    <mergeCell ref="F133:F134"/>
    <mergeCell ref="G133:G134"/>
    <mergeCell ref="H133:H134"/>
    <mergeCell ref="I133:I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H129:H130"/>
    <mergeCell ref="I129:I130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B129:B130"/>
    <mergeCell ref="C129:C130"/>
    <mergeCell ref="D129:D130"/>
    <mergeCell ref="E129:E130"/>
    <mergeCell ref="F129:F130"/>
    <mergeCell ref="H123:H124"/>
    <mergeCell ref="I123:I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A123:A124"/>
    <mergeCell ref="B123:B124"/>
    <mergeCell ref="C123:C124"/>
    <mergeCell ref="D123:D124"/>
    <mergeCell ref="E123:E124"/>
    <mergeCell ref="F123:F124"/>
    <mergeCell ref="G123:G124"/>
    <mergeCell ref="G119:G120"/>
    <mergeCell ref="H119:H120"/>
    <mergeCell ref="G121:G122"/>
    <mergeCell ref="H121:H122"/>
    <mergeCell ref="I121:I122"/>
    <mergeCell ref="I115:I116"/>
    <mergeCell ref="A117:A118"/>
    <mergeCell ref="B117:B118"/>
    <mergeCell ref="C117:C118"/>
    <mergeCell ref="D117:D118"/>
    <mergeCell ref="E117:E118"/>
    <mergeCell ref="F117:F118"/>
    <mergeCell ref="G117:G118"/>
    <mergeCell ref="A115:A116"/>
    <mergeCell ref="B115:B116"/>
    <mergeCell ref="C115:C116"/>
    <mergeCell ref="D115:D116"/>
    <mergeCell ref="E115:E116"/>
    <mergeCell ref="F115:F116"/>
    <mergeCell ref="H117:H118"/>
    <mergeCell ref="I117:I118"/>
    <mergeCell ref="A121:A122"/>
    <mergeCell ref="B121:B122"/>
    <mergeCell ref="C121:C122"/>
    <mergeCell ref="I111:I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B111:B112"/>
    <mergeCell ref="C111:C112"/>
    <mergeCell ref="D111:D112"/>
    <mergeCell ref="E111:E112"/>
    <mergeCell ref="F111:F112"/>
    <mergeCell ref="G111:G112"/>
    <mergeCell ref="I105:I106"/>
    <mergeCell ref="D109:D110"/>
    <mergeCell ref="E109:E110"/>
    <mergeCell ref="F109:F110"/>
    <mergeCell ref="G109:G110"/>
    <mergeCell ref="H109:H110"/>
    <mergeCell ref="I109:I110"/>
    <mergeCell ref="D107:D108"/>
    <mergeCell ref="E107:E108"/>
    <mergeCell ref="F107:F108"/>
    <mergeCell ref="G107:G108"/>
    <mergeCell ref="H107:H108"/>
    <mergeCell ref="I107:I108"/>
    <mergeCell ref="I101:I102"/>
    <mergeCell ref="A103:A104"/>
    <mergeCell ref="B103:B104"/>
    <mergeCell ref="C103:C104"/>
    <mergeCell ref="D103:D104"/>
    <mergeCell ref="E103:E104"/>
    <mergeCell ref="F103:F104"/>
    <mergeCell ref="H103:H104"/>
    <mergeCell ref="I103:I104"/>
    <mergeCell ref="G97:G98"/>
    <mergeCell ref="H97:H98"/>
    <mergeCell ref="I97:I98"/>
    <mergeCell ref="A99:A100"/>
    <mergeCell ref="B99:B100"/>
    <mergeCell ref="C99:C100"/>
    <mergeCell ref="D99:D100"/>
    <mergeCell ref="E99:E100"/>
    <mergeCell ref="F99:F100"/>
    <mergeCell ref="G99:G100"/>
    <mergeCell ref="A97:A98"/>
    <mergeCell ref="B97:B98"/>
    <mergeCell ref="C97:C98"/>
    <mergeCell ref="D97:D98"/>
    <mergeCell ref="E97:E98"/>
    <mergeCell ref="F97:F98"/>
    <mergeCell ref="H99:H100"/>
    <mergeCell ref="I99:I100"/>
    <mergeCell ref="G93:G94"/>
    <mergeCell ref="H93:H94"/>
    <mergeCell ref="I93:I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G89:G90"/>
    <mergeCell ref="H89:H90"/>
    <mergeCell ref="I89:I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A89:A90"/>
    <mergeCell ref="B89:B90"/>
    <mergeCell ref="C89:C90"/>
    <mergeCell ref="D89:D90"/>
    <mergeCell ref="E89:E90"/>
    <mergeCell ref="C87:C88"/>
    <mergeCell ref="I87:I88"/>
    <mergeCell ref="G77:G78"/>
    <mergeCell ref="H77:H78"/>
    <mergeCell ref="I77:I78"/>
    <mergeCell ref="C79:C80"/>
    <mergeCell ref="I79:I80"/>
    <mergeCell ref="A81:A82"/>
    <mergeCell ref="C81:C82"/>
    <mergeCell ref="I81:I82"/>
    <mergeCell ref="H87:H88"/>
    <mergeCell ref="A87:A88"/>
    <mergeCell ref="B87:B88"/>
    <mergeCell ref="D87:D88"/>
    <mergeCell ref="E87:E88"/>
    <mergeCell ref="F87:F88"/>
    <mergeCell ref="G87:G88"/>
    <mergeCell ref="H83:H84"/>
    <mergeCell ref="B85:B86"/>
    <mergeCell ref="A77:A78"/>
    <mergeCell ref="B77:B78"/>
    <mergeCell ref="C77:C78"/>
    <mergeCell ref="D77:D78"/>
    <mergeCell ref="E77:E78"/>
    <mergeCell ref="F77:F78"/>
    <mergeCell ref="C83:C84"/>
    <mergeCell ref="I83:I84"/>
    <mergeCell ref="A85:A86"/>
    <mergeCell ref="C85:C86"/>
    <mergeCell ref="I85:I86"/>
    <mergeCell ref="E73:E74"/>
    <mergeCell ref="F73:F74"/>
    <mergeCell ref="G73:G74"/>
    <mergeCell ref="H73:H74"/>
    <mergeCell ref="I73:I74"/>
    <mergeCell ref="A75:A76"/>
    <mergeCell ref="B75:B76"/>
    <mergeCell ref="C75:C76"/>
    <mergeCell ref="D75:D76"/>
    <mergeCell ref="E75:E76"/>
    <mergeCell ref="A73:A74"/>
    <mergeCell ref="B73:B74"/>
    <mergeCell ref="C73:C74"/>
    <mergeCell ref="D73:D74"/>
    <mergeCell ref="F75:F76"/>
    <mergeCell ref="G75:G76"/>
    <mergeCell ref="H75:H76"/>
    <mergeCell ref="I75:I76"/>
    <mergeCell ref="H71:H72"/>
    <mergeCell ref="H65:H66"/>
    <mergeCell ref="I65:I66"/>
    <mergeCell ref="A67:A68"/>
    <mergeCell ref="B67:B68"/>
    <mergeCell ref="C67:C68"/>
    <mergeCell ref="D67:D68"/>
    <mergeCell ref="E67:E68"/>
    <mergeCell ref="F67:F68"/>
    <mergeCell ref="G67:G68"/>
    <mergeCell ref="H67:H68"/>
    <mergeCell ref="A69:A70"/>
    <mergeCell ref="B69:B70"/>
    <mergeCell ref="C69:C70"/>
    <mergeCell ref="A71:A72"/>
    <mergeCell ref="H69:H70"/>
    <mergeCell ref="B71:B72"/>
    <mergeCell ref="A65:A66"/>
    <mergeCell ref="B65:B66"/>
    <mergeCell ref="C65:C66"/>
    <mergeCell ref="D65:D66"/>
    <mergeCell ref="E65:E66"/>
    <mergeCell ref="F65:F66"/>
    <mergeCell ref="G65:G66"/>
    <mergeCell ref="C71:C72"/>
    <mergeCell ref="D71:D72"/>
    <mergeCell ref="E71:E72"/>
    <mergeCell ref="F71:F72"/>
    <mergeCell ref="G71:G72"/>
    <mergeCell ref="A59:A60"/>
    <mergeCell ref="B59:B60"/>
    <mergeCell ref="C59:C60"/>
    <mergeCell ref="D59:D60"/>
    <mergeCell ref="E59:E60"/>
    <mergeCell ref="F59:F60"/>
    <mergeCell ref="G59:G60"/>
    <mergeCell ref="D63:D64"/>
    <mergeCell ref="E63:E64"/>
    <mergeCell ref="F63:F64"/>
    <mergeCell ref="G63:G64"/>
    <mergeCell ref="H59:H60"/>
    <mergeCell ref="A63:A64"/>
    <mergeCell ref="C63:C64"/>
    <mergeCell ref="F55:F56"/>
    <mergeCell ref="G55:G56"/>
    <mergeCell ref="H55:H56"/>
    <mergeCell ref="I55:I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A55:A56"/>
    <mergeCell ref="B55:B56"/>
    <mergeCell ref="C55:C56"/>
    <mergeCell ref="D55:D56"/>
    <mergeCell ref="E55:E56"/>
    <mergeCell ref="I61:I62"/>
    <mergeCell ref="H61:H62"/>
    <mergeCell ref="B63:B64"/>
    <mergeCell ref="H47:H48"/>
    <mergeCell ref="A53:A54"/>
    <mergeCell ref="B53:B54"/>
    <mergeCell ref="C53:C54"/>
    <mergeCell ref="D53:D54"/>
    <mergeCell ref="A51:A52"/>
    <mergeCell ref="B51:B52"/>
    <mergeCell ref="C51:C52"/>
    <mergeCell ref="D51:D52"/>
    <mergeCell ref="E51:E52"/>
    <mergeCell ref="H49:H50"/>
    <mergeCell ref="I49:I50"/>
    <mergeCell ref="F51:F52"/>
    <mergeCell ref="G51:G52"/>
    <mergeCell ref="H51:H52"/>
    <mergeCell ref="E53:E54"/>
    <mergeCell ref="F53:F54"/>
    <mergeCell ref="G53:G54"/>
    <mergeCell ref="H53:H54"/>
    <mergeCell ref="A49:A50"/>
    <mergeCell ref="B49:B50"/>
    <mergeCell ref="C49:C50"/>
    <mergeCell ref="D49:D50"/>
    <mergeCell ref="E49:E50"/>
    <mergeCell ref="F49:F50"/>
    <mergeCell ref="G49:G50"/>
    <mergeCell ref="A47:A48"/>
    <mergeCell ref="B47:B48"/>
    <mergeCell ref="C47:C48"/>
    <mergeCell ref="D47:D48"/>
    <mergeCell ref="E47:E48"/>
    <mergeCell ref="F47:F48"/>
    <mergeCell ref="G47:G48"/>
    <mergeCell ref="A45:A46"/>
    <mergeCell ref="B45:B46"/>
    <mergeCell ref="C45:C46"/>
    <mergeCell ref="D45:D46"/>
    <mergeCell ref="E45:E46"/>
    <mergeCell ref="F45:F46"/>
    <mergeCell ref="G45:G46"/>
    <mergeCell ref="H45:H46"/>
    <mergeCell ref="A43:A44"/>
    <mergeCell ref="B43:B44"/>
    <mergeCell ref="C43:C44"/>
    <mergeCell ref="D43:D44"/>
    <mergeCell ref="E43:E44"/>
    <mergeCell ref="F43:F44"/>
    <mergeCell ref="G43:G44"/>
    <mergeCell ref="A41:A42"/>
    <mergeCell ref="B41:B42"/>
    <mergeCell ref="C41:C42"/>
    <mergeCell ref="D41:D42"/>
    <mergeCell ref="E41:E42"/>
    <mergeCell ref="F41:F42"/>
    <mergeCell ref="G41:G42"/>
    <mergeCell ref="H41:H42"/>
    <mergeCell ref="H43:H44"/>
    <mergeCell ref="H37:H38"/>
    <mergeCell ref="I37:I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A37:A38"/>
    <mergeCell ref="B37:B38"/>
    <mergeCell ref="C37:C38"/>
    <mergeCell ref="D37:D38"/>
    <mergeCell ref="E37:E38"/>
    <mergeCell ref="F37:F38"/>
    <mergeCell ref="B35:B36"/>
    <mergeCell ref="C35:C36"/>
    <mergeCell ref="A33:A34"/>
    <mergeCell ref="B33:B34"/>
    <mergeCell ref="C33:C34"/>
    <mergeCell ref="D33:D34"/>
    <mergeCell ref="E33:E34"/>
    <mergeCell ref="F33:F34"/>
    <mergeCell ref="G37:G38"/>
    <mergeCell ref="G33:G34"/>
    <mergeCell ref="H33:H34"/>
    <mergeCell ref="F35:F36"/>
    <mergeCell ref="G35:G36"/>
    <mergeCell ref="H35:H36"/>
    <mergeCell ref="G29:G30"/>
    <mergeCell ref="H29:H30"/>
    <mergeCell ref="I29:I30"/>
    <mergeCell ref="A31:A32"/>
    <mergeCell ref="B31:B32"/>
    <mergeCell ref="C31:C32"/>
    <mergeCell ref="D31:D32"/>
    <mergeCell ref="E31:E32"/>
    <mergeCell ref="F31:F32"/>
    <mergeCell ref="G31:G32"/>
    <mergeCell ref="A29:A30"/>
    <mergeCell ref="B29:B30"/>
    <mergeCell ref="C29:C30"/>
    <mergeCell ref="D29:D30"/>
    <mergeCell ref="E29:E30"/>
    <mergeCell ref="F29:F30"/>
    <mergeCell ref="H31:H32"/>
    <mergeCell ref="I31:I32"/>
    <mergeCell ref="A35:A36"/>
    <mergeCell ref="I25:I26"/>
    <mergeCell ref="A27:A28"/>
    <mergeCell ref="C27:C28"/>
    <mergeCell ref="I27:I28"/>
    <mergeCell ref="F13:F14"/>
    <mergeCell ref="G13:G14"/>
    <mergeCell ref="H13:H14"/>
    <mergeCell ref="I13:I14"/>
    <mergeCell ref="A15:A16"/>
    <mergeCell ref="B15:B16"/>
    <mergeCell ref="C15:C16"/>
    <mergeCell ref="D15:D16"/>
    <mergeCell ref="E15:E16"/>
    <mergeCell ref="F15:F16"/>
    <mergeCell ref="I15:I16"/>
    <mergeCell ref="I17:I18"/>
    <mergeCell ref="I19:I20"/>
    <mergeCell ref="I21:I22"/>
    <mergeCell ref="C21:C22"/>
    <mergeCell ref="C17:C18"/>
    <mergeCell ref="F21:F22"/>
    <mergeCell ref="G21:G22"/>
    <mergeCell ref="H17:H18"/>
    <mergeCell ref="B19:B20"/>
    <mergeCell ref="A23:A24"/>
    <mergeCell ref="C23:C24"/>
    <mergeCell ref="I23:I24"/>
    <mergeCell ref="G15:G16"/>
    <mergeCell ref="H15:H16"/>
    <mergeCell ref="H21:H22"/>
    <mergeCell ref="B23:B24"/>
    <mergeCell ref="D23:D24"/>
    <mergeCell ref="E23:E24"/>
    <mergeCell ref="F23:F24"/>
    <mergeCell ref="G23:G24"/>
    <mergeCell ref="H23:H24"/>
    <mergeCell ref="A21:A22"/>
    <mergeCell ref="B21:B22"/>
    <mergeCell ref="D21:D22"/>
    <mergeCell ref="E21:E22"/>
    <mergeCell ref="I5:I6"/>
    <mergeCell ref="A7:A8"/>
    <mergeCell ref="I199:I200"/>
    <mergeCell ref="I183:I184"/>
    <mergeCell ref="I187:I188"/>
    <mergeCell ref="I189:I190"/>
    <mergeCell ref="I191:I192"/>
    <mergeCell ref="I171:I172"/>
    <mergeCell ref="I161:I162"/>
    <mergeCell ref="I149:I150"/>
    <mergeCell ref="I153:I154"/>
    <mergeCell ref="I137:I138"/>
    <mergeCell ref="I143:I144"/>
    <mergeCell ref="I125:I126"/>
    <mergeCell ref="I127:I128"/>
    <mergeCell ref="I131:I132"/>
    <mergeCell ref="I113:I114"/>
    <mergeCell ref="I119:I120"/>
    <mergeCell ref="A9:A10"/>
    <mergeCell ref="I9:I10"/>
    <mergeCell ref="A11:A12"/>
    <mergeCell ref="B11:B12"/>
    <mergeCell ref="C11:C12"/>
    <mergeCell ref="D11:D12"/>
    <mergeCell ref="I67:I68"/>
    <mergeCell ref="I69:I70"/>
    <mergeCell ref="I71:I72"/>
    <mergeCell ref="I51:I52"/>
    <mergeCell ref="I59:I60"/>
    <mergeCell ref="I41:I42"/>
    <mergeCell ref="I45:I46"/>
    <mergeCell ref="I33:I34"/>
    <mergeCell ref="I35:I36"/>
    <mergeCell ref="I43:I44"/>
    <mergeCell ref="I53:I54"/>
    <mergeCell ref="I63:I64"/>
    <mergeCell ref="I47:I48"/>
    <mergeCell ref="I7:I8"/>
    <mergeCell ref="I11:I12"/>
    <mergeCell ref="A207:A208"/>
    <mergeCell ref="B207:B208"/>
    <mergeCell ref="C207:C208"/>
    <mergeCell ref="A211:A212"/>
    <mergeCell ref="A199:A200"/>
    <mergeCell ref="C189:C190"/>
    <mergeCell ref="A191:A192"/>
    <mergeCell ref="C191:C192"/>
    <mergeCell ref="A185:A186"/>
    <mergeCell ref="B185:B186"/>
    <mergeCell ref="C185:C186"/>
    <mergeCell ref="D185:D186"/>
    <mergeCell ref="E185:E186"/>
    <mergeCell ref="A169:A170"/>
    <mergeCell ref="A161:A162"/>
    <mergeCell ref="C161:C162"/>
    <mergeCell ref="H153:H154"/>
    <mergeCell ref="A145:A146"/>
    <mergeCell ref="B145:B146"/>
    <mergeCell ref="C145:C146"/>
    <mergeCell ref="A147:A148"/>
    <mergeCell ref="A129:A130"/>
    <mergeCell ref="F127:F128"/>
    <mergeCell ref="F89:F90"/>
    <mergeCell ref="A93:A94"/>
    <mergeCell ref="B93:B94"/>
    <mergeCell ref="C93:C94"/>
    <mergeCell ref="D93:D94"/>
    <mergeCell ref="E93:E94"/>
    <mergeCell ref="F93:F94"/>
    <mergeCell ref="C101:C102"/>
    <mergeCell ref="A105:A106"/>
    <mergeCell ref="B105:B106"/>
    <mergeCell ref="C105:C106"/>
    <mergeCell ref="D105:D106"/>
    <mergeCell ref="E105:E106"/>
    <mergeCell ref="F105:F106"/>
    <mergeCell ref="A119:A120"/>
    <mergeCell ref="D121:D122"/>
    <mergeCell ref="E121:E122"/>
    <mergeCell ref="F121:F122"/>
    <mergeCell ref="C119:C120"/>
    <mergeCell ref="D119:D120"/>
    <mergeCell ref="E119:E120"/>
    <mergeCell ref="F119:F120"/>
    <mergeCell ref="D207:D208"/>
    <mergeCell ref="E207:E208"/>
    <mergeCell ref="F207:F208"/>
    <mergeCell ref="G207:G208"/>
    <mergeCell ref="A133:A134"/>
    <mergeCell ref="B133:B134"/>
    <mergeCell ref="C133:C134"/>
    <mergeCell ref="D133:D134"/>
    <mergeCell ref="D69:D70"/>
    <mergeCell ref="E69:E70"/>
    <mergeCell ref="F69:F70"/>
    <mergeCell ref="G69:G70"/>
    <mergeCell ref="B199:B200"/>
    <mergeCell ref="D199:D200"/>
    <mergeCell ref="E199:E200"/>
    <mergeCell ref="A127:A128"/>
    <mergeCell ref="C127:C128"/>
    <mergeCell ref="F199:F200"/>
    <mergeCell ref="G199:G200"/>
    <mergeCell ref="B191:B192"/>
    <mergeCell ref="D191:D192"/>
    <mergeCell ref="B127:B128"/>
    <mergeCell ref="D127:D128"/>
    <mergeCell ref="E127:E128"/>
    <mergeCell ref="H199:H200"/>
    <mergeCell ref="A197:A198"/>
    <mergeCell ref="B197:B198"/>
    <mergeCell ref="D197:D198"/>
    <mergeCell ref="E197:E198"/>
    <mergeCell ref="F197:F198"/>
    <mergeCell ref="G197:G198"/>
    <mergeCell ref="C199:C200"/>
    <mergeCell ref="A193:A194"/>
    <mergeCell ref="B193:B194"/>
    <mergeCell ref="D193:D194"/>
    <mergeCell ref="E193:E194"/>
    <mergeCell ref="F193:F194"/>
    <mergeCell ref="G193:G194"/>
    <mergeCell ref="F173:F174"/>
    <mergeCell ref="G173:G174"/>
    <mergeCell ref="C173:C174"/>
    <mergeCell ref="E165:E166"/>
    <mergeCell ref="F165:F166"/>
    <mergeCell ref="G165:G166"/>
    <mergeCell ref="H165:H166"/>
    <mergeCell ref="A163:A164"/>
    <mergeCell ref="B163:B164"/>
    <mergeCell ref="D163:D164"/>
    <mergeCell ref="E163:E164"/>
    <mergeCell ref="F163:F164"/>
    <mergeCell ref="G163:G164"/>
    <mergeCell ref="C163:C164"/>
    <mergeCell ref="H169:H170"/>
    <mergeCell ref="B161:B162"/>
    <mergeCell ref="D161:D162"/>
    <mergeCell ref="E161:E162"/>
    <mergeCell ref="F161:F162"/>
    <mergeCell ref="G161:G162"/>
    <mergeCell ref="H161:H162"/>
    <mergeCell ref="A159:A160"/>
    <mergeCell ref="B159:B160"/>
    <mergeCell ref="D159:D160"/>
    <mergeCell ref="E159:E160"/>
    <mergeCell ref="F159:F160"/>
    <mergeCell ref="G159:G160"/>
    <mergeCell ref="H155:H156"/>
    <mergeCell ref="B157:B158"/>
    <mergeCell ref="D157:D158"/>
    <mergeCell ref="E157:E158"/>
    <mergeCell ref="F157:F158"/>
    <mergeCell ref="G157:G158"/>
    <mergeCell ref="H157:H158"/>
    <mergeCell ref="A155:A156"/>
    <mergeCell ref="B155:B156"/>
    <mergeCell ref="D155:D156"/>
    <mergeCell ref="E155:E156"/>
    <mergeCell ref="F155:F156"/>
    <mergeCell ref="G155:G156"/>
    <mergeCell ref="H127:H128"/>
    <mergeCell ref="G129:G130"/>
    <mergeCell ref="A107:A108"/>
    <mergeCell ref="B107:B108"/>
    <mergeCell ref="C107:C108"/>
    <mergeCell ref="H101:H102"/>
    <mergeCell ref="A101:A102"/>
    <mergeCell ref="B101:B102"/>
    <mergeCell ref="D101:D102"/>
    <mergeCell ref="E101:E102"/>
    <mergeCell ref="F101:F102"/>
    <mergeCell ref="G101:G102"/>
    <mergeCell ref="A109:A110"/>
    <mergeCell ref="B109:B110"/>
    <mergeCell ref="C109:C110"/>
    <mergeCell ref="A111:A112"/>
    <mergeCell ref="G103:G104"/>
    <mergeCell ref="G127:G128"/>
    <mergeCell ref="G105:G106"/>
    <mergeCell ref="H105:H106"/>
    <mergeCell ref="H111:H112"/>
    <mergeCell ref="G115:G116"/>
    <mergeCell ref="H115:H116"/>
    <mergeCell ref="B119:B120"/>
    <mergeCell ref="D85:D86"/>
    <mergeCell ref="E85:E86"/>
    <mergeCell ref="F85:F86"/>
    <mergeCell ref="G85:G86"/>
    <mergeCell ref="H85:H86"/>
    <mergeCell ref="A83:A84"/>
    <mergeCell ref="B83:B84"/>
    <mergeCell ref="D83:D84"/>
    <mergeCell ref="E83:E84"/>
    <mergeCell ref="F83:F84"/>
    <mergeCell ref="G83:G84"/>
    <mergeCell ref="H79:H80"/>
    <mergeCell ref="B81:B82"/>
    <mergeCell ref="D81:D82"/>
    <mergeCell ref="E81:E82"/>
    <mergeCell ref="F81:F82"/>
    <mergeCell ref="G81:G82"/>
    <mergeCell ref="H81:H82"/>
    <mergeCell ref="A79:A80"/>
    <mergeCell ref="B79:B80"/>
    <mergeCell ref="D79:D80"/>
    <mergeCell ref="E79:E80"/>
    <mergeCell ref="F79:F80"/>
    <mergeCell ref="G79:G80"/>
    <mergeCell ref="H63:H64"/>
    <mergeCell ref="A61:A62"/>
    <mergeCell ref="B61:B62"/>
    <mergeCell ref="D61:D62"/>
    <mergeCell ref="E61:E62"/>
    <mergeCell ref="F61:F62"/>
    <mergeCell ref="G61:G62"/>
    <mergeCell ref="C61:C62"/>
    <mergeCell ref="H25:H26"/>
    <mergeCell ref="B27:B28"/>
    <mergeCell ref="D27:D28"/>
    <mergeCell ref="E27:E28"/>
    <mergeCell ref="F27:F28"/>
    <mergeCell ref="G27:G28"/>
    <mergeCell ref="H27:H28"/>
    <mergeCell ref="A25:A26"/>
    <mergeCell ref="B25:B26"/>
    <mergeCell ref="D25:D26"/>
    <mergeCell ref="E25:E26"/>
    <mergeCell ref="F25:F26"/>
    <mergeCell ref="G25:G26"/>
    <mergeCell ref="C25:C26"/>
    <mergeCell ref="D35:D36"/>
    <mergeCell ref="E35:E36"/>
    <mergeCell ref="D19:D20"/>
    <mergeCell ref="E19:E20"/>
    <mergeCell ref="F19:F20"/>
    <mergeCell ref="G19:G20"/>
    <mergeCell ref="H19:H20"/>
    <mergeCell ref="A17:A18"/>
    <mergeCell ref="B17:B18"/>
    <mergeCell ref="D17:D18"/>
    <mergeCell ref="E17:E18"/>
    <mergeCell ref="F17:F18"/>
    <mergeCell ref="G17:G18"/>
    <mergeCell ref="A19:A20"/>
    <mergeCell ref="C19:C20"/>
    <mergeCell ref="A13:A14"/>
    <mergeCell ref="B13:B14"/>
    <mergeCell ref="C13:C14"/>
    <mergeCell ref="D13:D14"/>
    <mergeCell ref="E13:E14"/>
    <mergeCell ref="H11:H12"/>
    <mergeCell ref="B9:B10"/>
    <mergeCell ref="D9:D10"/>
    <mergeCell ref="E9:E10"/>
    <mergeCell ref="F9:F10"/>
    <mergeCell ref="G9:G10"/>
    <mergeCell ref="H9:H10"/>
    <mergeCell ref="C9:C10"/>
    <mergeCell ref="E11:E12"/>
    <mergeCell ref="F11:F12"/>
    <mergeCell ref="G11:G12"/>
    <mergeCell ref="A1:A2"/>
    <mergeCell ref="B1:B2"/>
    <mergeCell ref="D1:D2"/>
    <mergeCell ref="E1:E2"/>
    <mergeCell ref="F1:F2"/>
    <mergeCell ref="G1:G2"/>
    <mergeCell ref="C1:C2"/>
    <mergeCell ref="H5:H6"/>
    <mergeCell ref="B7:B8"/>
    <mergeCell ref="D7:D8"/>
    <mergeCell ref="E7:E8"/>
    <mergeCell ref="F7:F8"/>
    <mergeCell ref="G7:G8"/>
    <mergeCell ref="H7:H8"/>
    <mergeCell ref="A5:A6"/>
    <mergeCell ref="B5:B6"/>
    <mergeCell ref="D5:D6"/>
    <mergeCell ref="E5:E6"/>
    <mergeCell ref="F5:F6"/>
    <mergeCell ref="G5:G6"/>
    <mergeCell ref="C7:C8"/>
    <mergeCell ref="A3:A4"/>
    <mergeCell ref="C3:C4"/>
    <mergeCell ref="C5:C6"/>
    <mergeCell ref="K1:K2"/>
    <mergeCell ref="N1:N2"/>
    <mergeCell ref="L1:L2"/>
    <mergeCell ref="O1:O2"/>
    <mergeCell ref="H1:H2"/>
    <mergeCell ref="B3:B4"/>
    <mergeCell ref="D3:D4"/>
    <mergeCell ref="E3:E4"/>
    <mergeCell ref="F3:F4"/>
    <mergeCell ref="G3:G4"/>
    <mergeCell ref="H3:H4"/>
    <mergeCell ref="I1:I2"/>
    <mergeCell ref="I3:I4"/>
  </mergeCells>
  <phoneticPr fontId="1" type="noConversion"/>
  <conditionalFormatting sqref="I1:I1048576">
    <cfRule type="colorScale" priority="1">
      <colorScale>
        <cfvo type="min"/>
        <cfvo type="max"/>
        <color theme="9" tint="0.79998168889431442"/>
        <color theme="6" tint="0.39997558519241921"/>
      </colorScale>
    </cfRule>
    <cfRule type="containsText" dxfId="0" priority="2" operator="containsText" text="V">
      <formula>NOT(ISERROR(SEARCH("V",I1)))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Alpha</dc:creator>
  <cp:lastModifiedBy>Alpha Alpha</cp:lastModifiedBy>
  <dcterms:created xsi:type="dcterms:W3CDTF">2025-10-05T15:43:35Z</dcterms:created>
  <dcterms:modified xsi:type="dcterms:W3CDTF">2025-10-15T19:29:33Z</dcterms:modified>
</cp:coreProperties>
</file>